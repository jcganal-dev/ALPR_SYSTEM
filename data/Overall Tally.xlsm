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AE95226D-CE92-4ED8-9EB6-C520915A7CB0}" xr6:coauthVersionLast="47" xr6:coauthVersionMax="47" xr10:uidLastSave="{00000000-0000-0000-0000-000000000000}"/>
  <bookViews>
    <workbookView xWindow="-120" yWindow="-120" windowWidth="20730" windowHeight="11760" activeTab="1" xr2:uid="{58F2EC7D-60B7-497E-945B-6A38B5A21958}"/>
  </bookViews>
  <sheets>
    <sheet name="Tricycle" sheetId="5" r:id="rId1"/>
    <sheet name="Motorcycle" sheetId="6" r:id="rId2"/>
    <sheet name="Car" sheetId="7" r:id="rId3"/>
    <sheet name="Overall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5" l="1"/>
  <c r="E14" i="7"/>
  <c r="E10" i="7"/>
  <c r="E6" i="7"/>
  <c r="D10" i="7"/>
  <c r="E14" i="5"/>
  <c r="E10" i="5"/>
  <c r="E6" i="5"/>
  <c r="E14" i="6"/>
  <c r="E10" i="6"/>
  <c r="E6" i="6"/>
  <c r="D10" i="6"/>
  <c r="C10" i="7"/>
  <c r="D14" i="7"/>
  <c r="D6" i="7"/>
  <c r="C14" i="7"/>
  <c r="D14" i="6"/>
  <c r="D6" i="6"/>
  <c r="C14" i="6"/>
  <c r="C10" i="6"/>
  <c r="C6" i="5"/>
  <c r="C10" i="5"/>
  <c r="C14" i="5"/>
  <c r="D14" i="5"/>
  <c r="D6" i="5"/>
  <c r="J4" i="6" l="1"/>
  <c r="D10" i="10"/>
  <c r="J6" i="7"/>
  <c r="I5" i="7"/>
  <c r="E14" i="10"/>
  <c r="E10" i="10"/>
  <c r="E6" i="10"/>
  <c r="D14" i="10"/>
  <c r="D6" i="10"/>
  <c r="C14" i="10"/>
  <c r="C10" i="10"/>
  <c r="I5" i="6"/>
  <c r="F10" i="5"/>
  <c r="L5" i="5" s="1"/>
  <c r="E18" i="7"/>
  <c r="C18" i="7"/>
  <c r="F14" i="7"/>
  <c r="L6" i="7" s="1"/>
  <c r="F10" i="7"/>
  <c r="L5" i="7" s="1"/>
  <c r="I6" i="7"/>
  <c r="F6" i="7"/>
  <c r="L4" i="7" s="1"/>
  <c r="J5" i="7"/>
  <c r="J4" i="7"/>
  <c r="I4" i="7"/>
  <c r="E18" i="6"/>
  <c r="C18" i="6"/>
  <c r="F14" i="6"/>
  <c r="L6" i="6" s="1"/>
  <c r="J6" i="6"/>
  <c r="I6" i="6"/>
  <c r="F6" i="6"/>
  <c r="L4" i="6" s="1"/>
  <c r="J5" i="6"/>
  <c r="I4" i="6"/>
  <c r="J6" i="5"/>
  <c r="I6" i="5"/>
  <c r="J5" i="5"/>
  <c r="I5" i="5"/>
  <c r="J4" i="5"/>
  <c r="I4" i="5"/>
  <c r="E18" i="5"/>
  <c r="D18" i="5"/>
  <c r="C18" i="5"/>
  <c r="F14" i="5"/>
  <c r="L6" i="5" s="1"/>
  <c r="F6" i="5"/>
  <c r="L4" i="5" s="1"/>
  <c r="K6" i="7" l="1"/>
  <c r="I6" i="10"/>
  <c r="K6" i="6"/>
  <c r="K6" i="5"/>
  <c r="J4" i="10"/>
  <c r="D18" i="7"/>
  <c r="J5" i="10"/>
  <c r="E18" i="10"/>
  <c r="F6" i="10"/>
  <c r="L4" i="10" s="1"/>
  <c r="F14" i="10"/>
  <c r="L6" i="10" s="1"/>
  <c r="F10" i="10"/>
  <c r="L5" i="10" s="1"/>
  <c r="I5" i="10"/>
  <c r="D18" i="10"/>
  <c r="J6" i="10"/>
  <c r="I4" i="10"/>
  <c r="C18" i="10"/>
  <c r="F10" i="6"/>
  <c r="L5" i="6" s="1"/>
  <c r="D18" i="6"/>
  <c r="L7" i="7"/>
  <c r="I7" i="7" s="1"/>
  <c r="K4" i="7"/>
  <c r="K4" i="6"/>
  <c r="K5" i="7"/>
  <c r="F18" i="7"/>
  <c r="I2" i="7" s="1"/>
  <c r="L7" i="6"/>
  <c r="I7" i="6" s="1"/>
  <c r="K5" i="6"/>
  <c r="K4" i="5"/>
  <c r="K5" i="5"/>
  <c r="L7" i="5"/>
  <c r="F18" i="5"/>
  <c r="I2" i="5" s="1"/>
  <c r="K6" i="10" l="1"/>
  <c r="J7" i="7"/>
  <c r="K4" i="10"/>
  <c r="K5" i="10"/>
  <c r="F18" i="6"/>
  <c r="I2" i="6" s="1"/>
  <c r="K7" i="7"/>
  <c r="L7" i="10"/>
  <c r="J7" i="10" s="1"/>
  <c r="F18" i="10"/>
  <c r="I2" i="10" s="1"/>
  <c r="J7" i="6"/>
  <c r="K7" i="6"/>
  <c r="K7" i="5"/>
  <c r="I7" i="5"/>
  <c r="J7" i="5"/>
  <c r="I7" i="10" l="1"/>
  <c r="K7" i="10"/>
</calcChain>
</file>

<file path=xl/sharedStrings.xml><?xml version="1.0" encoding="utf-8"?>
<sst xmlns="http://schemas.openxmlformats.org/spreadsheetml/2006/main" count="88" uniqueCount="19">
  <si>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</si>
  <si>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</si>
  <si>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</si>
  <si>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</si>
  <si>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</si>
  <si>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</si>
  <si>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</si>
  <si>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</si>
  <si>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</si>
  <si>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</si>
  <si>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</si>
  <si>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</si>
  <si>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</si>
  <si>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</si>
  <si>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</si>
  <si>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Tricycle Statistics</t>
  </si>
  <si>
    <t>Motorcycle</t>
  </si>
  <si>
    <t>OVERALL</t>
  </si>
  <si>
    <t>Overall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</si>
</sst>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45"/>
    </xf>
    <xf numFmtId="0" fontId="0" fillId="0" borderId="0" xfId="0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 vertical="center"/>
    </xf>
    <xf numFmtId="10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zoomScaleNormal="100" workbookViewId="0">
      <selection activeCell="E18" sqref="E18:E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5" bestFit="1" customWidth="1"/>
  </cols>
  <sheetData>
    <row r="1" spans="1:12" x14ac:dyDescent="0.25">
      <c r="A1" s="6" t="s">
        <v>14</v>
      </c>
      <c r="B1" s="6"/>
      <c r="C1" s="2" t="s">
        <v>3</v>
      </c>
      <c r="D1" s="2"/>
      <c r="E1" s="2"/>
      <c r="F1" s="2"/>
      <c r="H1" s="7" t="s">
        <v>15</v>
      </c>
      <c r="I1" s="7"/>
      <c r="J1" s="7"/>
      <c r="K1" s="7"/>
      <c r="L1" s="7"/>
    </row>
    <row r="2" spans="1:12" x14ac:dyDescent="0.25">
      <c r="A2" s="6"/>
      <c r="B2" s="6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8">
        <f>IF(F18=0,0,(SUM(C6,D10,E14)/F18))</f>
        <v>0.96629901960784315</v>
      </c>
      <c r="J2" s="8"/>
      <c r="K2" s="8"/>
      <c r="L2" s="8"/>
    </row>
    <row r="3" spans="1:12" x14ac:dyDescent="0.25">
      <c r="A3" s="5" t="s">
        <v>1</v>
      </c>
      <c r="B3" s="5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5"/>
      <c r="B4" s="5"/>
      <c r="C4" s="3"/>
      <c r="D4" s="3"/>
      <c r="E4" s="3"/>
      <c r="F4" s="3"/>
      <c r="H4" t="s">
        <v>2</v>
      </c>
      <c r="I4" s="1">
        <f>IF(SUM(C6:C17)=0,0,C6/SUM(C6:C17))</f>
        <v>0.98360655737704916</v>
      </c>
      <c r="J4" s="1">
        <f>IF(SUM(C6:E9)=0,0,C6/SUM(C6:E9))</f>
        <v>0.98684210526315785</v>
      </c>
      <c r="K4" s="1">
        <f>IF(I4+J4=0,0,2*((I4*J4)/(I4+J4)))</f>
        <v>0.98522167487684731</v>
      </c>
      <c r="L4">
        <f>F6</f>
        <v>304</v>
      </c>
    </row>
    <row r="5" spans="1:12" x14ac:dyDescent="0.25">
      <c r="A5" s="5"/>
      <c r="B5" s="5"/>
      <c r="C5" s="3"/>
      <c r="D5" s="3"/>
      <c r="E5" s="3"/>
      <c r="F5" s="3"/>
      <c r="H5" t="s">
        <v>6</v>
      </c>
      <c r="I5" s="1">
        <f>IF(SUM(D6:D17)=0,0,D10/SUM(D6:D17))</f>
        <v>0.99419087136929463</v>
      </c>
      <c r="J5" s="1">
        <f>IF(SUM(C10:E13)=0,0,D10/SUM(C10:E13))</f>
        <v>0.96690879741727198</v>
      </c>
      <c r="K5" s="1">
        <f>IF(I5+J5=0,0,2*((I5*J5)/(I5+J5)))</f>
        <v>0.98036006546644849</v>
      </c>
      <c r="L5">
        <f>F10</f>
        <v>1239</v>
      </c>
    </row>
    <row r="6" spans="1:12" x14ac:dyDescent="0.25">
      <c r="A6" s="4" t="s">
        <v>12</v>
      </c>
      <c r="B6" s="3" t="s">
        <v>2</v>
      </c>
      <c r="C6" s="5">
        <f>300</f>
        <v>300</v>
      </c>
      <c r="D6" s="5">
        <f>1</f>
        <v>1</v>
      </c>
      <c r="E6" s="5">
        <f>3</f>
        <v>3</v>
      </c>
      <c r="F6" s="2">
        <f>SUM(C6:E9)</f>
        <v>304</v>
      </c>
      <c r="H6" t="s">
        <v>4</v>
      </c>
      <c r="I6" s="1">
        <f>IF(SUM(E6:E17)=0,0,E14/SUM(E6:E17))</f>
        <v>0.64754098360655743</v>
      </c>
      <c r="J6" s="1">
        <f>IF(SUM(C14:E17)=0,0,E14/SUM(C14:E17))</f>
        <v>0.88764044943820219</v>
      </c>
      <c r="K6" s="1">
        <f>IF(I6+J6=0,0,2*((I6*J6)/(I6+J6)))</f>
        <v>0.74881516587677721</v>
      </c>
      <c r="L6">
        <f>F14</f>
        <v>89</v>
      </c>
    </row>
    <row r="7" spans="1:12" x14ac:dyDescent="0.25">
      <c r="A7" s="4"/>
      <c r="B7" s="3"/>
      <c r="C7" s="5"/>
      <c r="D7" s="5"/>
      <c r="E7" s="5"/>
      <c r="F7" s="2"/>
      <c r="H7" t="s">
        <v>13</v>
      </c>
      <c r="I7" s="1">
        <f>IF(L7=0,0,(I4*L4+I5*L5+I6*L6)/L7)</f>
        <v>0.97331496973661924</v>
      </c>
      <c r="J7" s="1">
        <f>IF(L7=0,0,(J4*L4+J5*L5+J6*L6)/L7)</f>
        <v>0.96629901960784315</v>
      </c>
      <c r="K7" s="1">
        <f>IF(L7=0,0,(K4*L4+K5*L5+K6*L6)/L7)</f>
        <v>0.96863851718046845</v>
      </c>
      <c r="L7">
        <f>SUM(L4:L6)</f>
        <v>1632</v>
      </c>
    </row>
    <row r="8" spans="1:12" x14ac:dyDescent="0.25">
      <c r="A8" s="4"/>
      <c r="B8" s="3"/>
      <c r="C8" s="5"/>
      <c r="D8" s="5"/>
      <c r="E8" s="5"/>
      <c r="F8" s="2"/>
    </row>
    <row r="9" spans="1:12" x14ac:dyDescent="0.25">
      <c r="A9" s="4"/>
      <c r="B9" s="3"/>
      <c r="C9" s="5"/>
      <c r="D9" s="5"/>
      <c r="E9" s="5"/>
      <c r="F9" s="2"/>
    </row>
    <row r="10" spans="1:12" x14ac:dyDescent="0.25">
      <c r="A10" s="4"/>
      <c r="B10" s="3" t="s">
        <v>6</v>
      </c>
      <c r="C10" s="5">
        <f>1</f>
        <v>1</v>
      </c>
      <c r="D10" s="5">
        <f>897+301</f>
        <v>1198</v>
      </c>
      <c r="E10" s="5">
        <f>40</f>
        <v>40</v>
      </c>
      <c r="F10" s="2">
        <f>SUM(C10:E13)</f>
        <v>1239</v>
      </c>
    </row>
    <row r="11" spans="1:12" x14ac:dyDescent="0.25">
      <c r="A11" s="4"/>
      <c r="B11" s="3"/>
      <c r="C11" s="5"/>
      <c r="D11" s="5"/>
      <c r="E11" s="5"/>
      <c r="F11" s="2"/>
    </row>
    <row r="12" spans="1:12" x14ac:dyDescent="0.25">
      <c r="A12" s="4"/>
      <c r="B12" s="3"/>
      <c r="C12" s="5"/>
      <c r="D12" s="5"/>
      <c r="E12" s="5"/>
      <c r="F12" s="2"/>
    </row>
    <row r="13" spans="1:12" x14ac:dyDescent="0.25">
      <c r="A13" s="4"/>
      <c r="B13" s="3"/>
      <c r="C13" s="5"/>
      <c r="D13" s="5"/>
      <c r="E13" s="5"/>
      <c r="F13" s="2"/>
    </row>
    <row r="14" spans="1:12" x14ac:dyDescent="0.25">
      <c r="A14" s="4"/>
      <c r="B14" s="3" t="s">
        <v>4</v>
      </c>
      <c r="C14" s="5">
        <f>4</f>
        <v>4</v>
      </c>
      <c r="D14" s="5">
        <f>6</f>
        <v>6</v>
      </c>
      <c r="E14" s="5">
        <f>79</f>
        <v>79</v>
      </c>
      <c r="F14" s="2">
        <f>SUM(C14:E17)</f>
        <v>89</v>
      </c>
    </row>
    <row r="15" spans="1:12" x14ac:dyDescent="0.25">
      <c r="A15" s="4"/>
      <c r="B15" s="3"/>
      <c r="C15" s="5"/>
      <c r="D15" s="5"/>
      <c r="E15" s="5"/>
      <c r="F15" s="2"/>
    </row>
    <row r="16" spans="1:12" x14ac:dyDescent="0.25">
      <c r="A16" s="4"/>
      <c r="B16" s="3"/>
      <c r="C16" s="5"/>
      <c r="D16" s="5"/>
      <c r="E16" s="5"/>
      <c r="F16" s="2"/>
    </row>
    <row r="17" spans="1:6" x14ac:dyDescent="0.25">
      <c r="A17" s="4"/>
      <c r="B17" s="3"/>
      <c r="C17" s="5"/>
      <c r="D17" s="5"/>
      <c r="E17" s="5"/>
      <c r="F17" s="2"/>
    </row>
    <row r="18" spans="1:6" x14ac:dyDescent="0.25">
      <c r="A18" s="4"/>
      <c r="B18" s="3" t="s">
        <v>5</v>
      </c>
      <c r="C18" s="2">
        <f>SUM(C6:C17)</f>
        <v>305</v>
      </c>
      <c r="D18" s="2">
        <f>SUM(D6:D17)</f>
        <v>1205</v>
      </c>
      <c r="E18" s="2">
        <f>SUM(E6:E17)</f>
        <v>122</v>
      </c>
      <c r="F18" s="2">
        <f>IF(SUM(C18:E21)=SUM(F6:F17),SUM(F6:F17),"Error")</f>
        <v>1632</v>
      </c>
    </row>
    <row r="19" spans="1:6" x14ac:dyDescent="0.25">
      <c r="A19" s="4"/>
      <c r="B19" s="3"/>
      <c r="C19" s="2"/>
      <c r="D19" s="2"/>
      <c r="E19" s="2"/>
      <c r="F19" s="2"/>
    </row>
    <row r="20" spans="1:6" x14ac:dyDescent="0.25">
      <c r="A20" s="4"/>
      <c r="B20" s="3"/>
      <c r="C20" s="2"/>
      <c r="D20" s="2"/>
      <c r="E20" s="2"/>
      <c r="F20" s="2"/>
    </row>
    <row r="21" spans="1:6" x14ac:dyDescent="0.25">
      <c r="A21" s="4"/>
      <c r="B21" s="3"/>
      <c r="C21" s="2"/>
      <c r="D21" s="2"/>
      <c r="E21" s="2"/>
      <c r="F21" s="2"/>
    </row>
  </sheetData>
  <mergeCells count="30">
    <mergeCell ref="F18:F21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A6:A21"/>
    <mergeCell ref="B6:B9"/>
    <mergeCell ref="C6:C9"/>
    <mergeCell ref="D6:D9"/>
    <mergeCell ref="B18:B21"/>
    <mergeCell ref="C18:C21"/>
    <mergeCell ref="D18:D21"/>
    <mergeCell ref="E18:E21"/>
    <mergeCell ref="E6:E9"/>
    <mergeCell ref="B10:B13"/>
    <mergeCell ref="C10:C13"/>
    <mergeCell ref="D10:D13"/>
    <mergeCell ref="E10:E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8198-1B67-463E-9D5B-4A01D6685DC4}">
  <dimension ref="A1:L21"/>
  <sheetViews>
    <sheetView tabSelected="1" workbookViewId="0">
      <selection activeCell="C10" sqref="C10:C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5" bestFit="1" customWidth="1"/>
  </cols>
  <sheetData>
    <row r="1" spans="1:12" x14ac:dyDescent="0.25">
      <c r="A1" s="6" t="s">
        <v>14</v>
      </c>
      <c r="B1" s="6"/>
      <c r="C1" s="2" t="s">
        <v>3</v>
      </c>
      <c r="D1" s="2"/>
      <c r="E1" s="2"/>
      <c r="F1" s="2"/>
      <c r="H1" s="7" t="s">
        <v>15</v>
      </c>
      <c r="I1" s="7"/>
      <c r="J1" s="7"/>
      <c r="K1" s="7"/>
      <c r="L1" s="7"/>
    </row>
    <row r="2" spans="1:12" x14ac:dyDescent="0.25">
      <c r="A2" s="6"/>
      <c r="B2" s="6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8">
        <f>IF(F18=0,0,(SUM(C6,D10,E14)/F18))</f>
        <v>0.92767915844838922</v>
      </c>
      <c r="J2" s="8"/>
      <c r="K2" s="8"/>
      <c r="L2" s="8"/>
    </row>
    <row r="3" spans="1:12" x14ac:dyDescent="0.25">
      <c r="A3" s="5" t="s">
        <v>16</v>
      </c>
      <c r="B3" s="5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5"/>
      <c r="B4" s="5"/>
      <c r="C4" s="3"/>
      <c r="D4" s="3"/>
      <c r="E4" s="3"/>
      <c r="F4" s="3"/>
      <c r="H4" t="s">
        <v>2</v>
      </c>
      <c r="I4" s="1">
        <f>IF(SUM(C6:C17)=0,0,C6/SUM(C6:C17))</f>
        <v>0.97736625514403297</v>
      </c>
      <c r="J4" s="1">
        <f>IF(SUM(C6:E9)=0,0,C6/SUM(C6:E9))</f>
        <v>0.97137014314928427</v>
      </c>
      <c r="K4" s="1">
        <f>IF(I4+J4=0,0,2*((I4*J4)/(I4+J4)))</f>
        <v>0.97435897435897445</v>
      </c>
      <c r="L4">
        <f>F6</f>
        <v>489</v>
      </c>
    </row>
    <row r="5" spans="1:12" x14ac:dyDescent="0.25">
      <c r="A5" s="5"/>
      <c r="B5" s="5"/>
      <c r="C5" s="3"/>
      <c r="D5" s="3"/>
      <c r="E5" s="3"/>
      <c r="F5" s="3"/>
      <c r="H5" t="s">
        <v>6</v>
      </c>
      <c r="I5" s="1">
        <f>IF(SUM(D6:D17)=0,0,D10/SUM(D6:D17))</f>
        <v>0.99155609167671899</v>
      </c>
      <c r="J5" s="1">
        <f>IF(SUM(C10:E13)=0,0,D10/SUM(C10:E13))</f>
        <v>0.906284454244763</v>
      </c>
      <c r="K5" s="1">
        <f>IF(I5+J5=0,0,2*((I5*J5)/(I5+J5)))</f>
        <v>0.94700460829493094</v>
      </c>
      <c r="L5">
        <f>F10</f>
        <v>907</v>
      </c>
    </row>
    <row r="6" spans="1:12" x14ac:dyDescent="0.25">
      <c r="A6" s="4" t="s">
        <v>12</v>
      </c>
      <c r="B6" s="3" t="s">
        <v>2</v>
      </c>
      <c r="C6" s="5">
        <v>475</v>
      </c>
      <c r="D6" s="5">
        <f>3</f>
        <v>3</v>
      </c>
      <c r="E6" s="5">
        <f>11</f>
        <v>11</v>
      </c>
      <c r="F6" s="2">
        <f>SUM(C6:E9)</f>
        <v>489</v>
      </c>
      <c r="H6" t="s">
        <v>4</v>
      </c>
      <c r="I6" s="1">
        <f>IF(SUM(E6:E17)=0,0,E14/SUM(E6:E17))</f>
        <v>0.55339805825242716</v>
      </c>
      <c r="J6" s="1">
        <f>IF(SUM(C14:E17)=0,0,E14/SUM(C14:E17))</f>
        <v>0.91200000000000003</v>
      </c>
      <c r="K6" s="1">
        <f>IF(I6+J6=0,0,2*((I6*J6)/(I6+J6)))</f>
        <v>0.68882175226586095</v>
      </c>
      <c r="L6">
        <f>F14</f>
        <v>125</v>
      </c>
    </row>
    <row r="7" spans="1:12" x14ac:dyDescent="0.25">
      <c r="A7" s="4"/>
      <c r="B7" s="3"/>
      <c r="C7" s="5"/>
      <c r="D7" s="5"/>
      <c r="E7" s="5"/>
      <c r="F7" s="2"/>
      <c r="H7" t="s">
        <v>13</v>
      </c>
      <c r="I7" s="1">
        <f>IF(L7=0,0,(I4*L4+I5*L5+I6*L6)/L7)</f>
        <v>0.95098503037328697</v>
      </c>
      <c r="J7" s="1">
        <f>IF(L7=0,0,(J4*L4+J5*L5+J6*L6)/L7)</f>
        <v>0.92767915844838922</v>
      </c>
      <c r="K7" s="1">
        <f>IF(L7=0,0,(K4*L4+K5*L5+K6*L6)/L7)</f>
        <v>0.93458082657348684</v>
      </c>
      <c r="L7">
        <f>SUM(L4:L6)</f>
        <v>1521</v>
      </c>
    </row>
    <row r="8" spans="1:12" x14ac:dyDescent="0.25">
      <c r="A8" s="4"/>
      <c r="B8" s="3"/>
      <c r="C8" s="5"/>
      <c r="D8" s="5"/>
      <c r="E8" s="5"/>
      <c r="F8" s="2"/>
    </row>
    <row r="9" spans="1:12" x14ac:dyDescent="0.25">
      <c r="A9" s="4"/>
      <c r="B9" s="3"/>
      <c r="C9" s="5"/>
      <c r="D9" s="5"/>
      <c r="E9" s="5"/>
      <c r="F9" s="2"/>
    </row>
    <row r="10" spans="1:12" x14ac:dyDescent="0.25">
      <c r="A10" s="4"/>
      <c r="B10" s="3" t="s">
        <v>6</v>
      </c>
      <c r="C10" s="5">
        <f>4</f>
        <v>4</v>
      </c>
      <c r="D10" s="5">
        <f>698+124</f>
        <v>822</v>
      </c>
      <c r="E10" s="5">
        <f>81</f>
        <v>81</v>
      </c>
      <c r="F10" s="2">
        <f>SUM(C10:E13)</f>
        <v>907</v>
      </c>
    </row>
    <row r="11" spans="1:12" x14ac:dyDescent="0.25">
      <c r="A11" s="4"/>
      <c r="B11" s="3"/>
      <c r="C11" s="5"/>
      <c r="D11" s="5"/>
      <c r="E11" s="5"/>
      <c r="F11" s="2"/>
    </row>
    <row r="12" spans="1:12" x14ac:dyDescent="0.25">
      <c r="A12" s="4"/>
      <c r="B12" s="3"/>
      <c r="C12" s="5"/>
      <c r="D12" s="5"/>
      <c r="E12" s="5"/>
      <c r="F12" s="2"/>
    </row>
    <row r="13" spans="1:12" x14ac:dyDescent="0.25">
      <c r="A13" s="4"/>
      <c r="B13" s="3"/>
      <c r="C13" s="5"/>
      <c r="D13" s="5"/>
      <c r="E13" s="5"/>
      <c r="F13" s="2"/>
    </row>
    <row r="14" spans="1:12" x14ac:dyDescent="0.25">
      <c r="A14" s="4"/>
      <c r="B14" s="3" t="s">
        <v>4</v>
      </c>
      <c r="C14" s="5">
        <f>7</f>
        <v>7</v>
      </c>
      <c r="D14" s="5">
        <f>4</f>
        <v>4</v>
      </c>
      <c r="E14" s="5">
        <f>114</f>
        <v>114</v>
      </c>
      <c r="F14" s="2">
        <f>SUM(C14:E17)</f>
        <v>125</v>
      </c>
    </row>
    <row r="15" spans="1:12" x14ac:dyDescent="0.25">
      <c r="A15" s="4"/>
      <c r="B15" s="3"/>
      <c r="C15" s="5"/>
      <c r="D15" s="5"/>
      <c r="E15" s="5"/>
      <c r="F15" s="2"/>
    </row>
    <row r="16" spans="1:12" x14ac:dyDescent="0.25">
      <c r="A16" s="4"/>
      <c r="B16" s="3"/>
      <c r="C16" s="5"/>
      <c r="D16" s="5"/>
      <c r="E16" s="5"/>
      <c r="F16" s="2"/>
    </row>
    <row r="17" spans="1:6" x14ac:dyDescent="0.25">
      <c r="A17" s="4"/>
      <c r="B17" s="3"/>
      <c r="C17" s="5"/>
      <c r="D17" s="5"/>
      <c r="E17" s="5"/>
      <c r="F17" s="2"/>
    </row>
    <row r="18" spans="1:6" x14ac:dyDescent="0.25">
      <c r="A18" s="4"/>
      <c r="B18" s="3" t="s">
        <v>5</v>
      </c>
      <c r="C18" s="2">
        <f>SUM(C6:C17)</f>
        <v>486</v>
      </c>
      <c r="D18" s="2">
        <f>SUM(D6:D17)</f>
        <v>829</v>
      </c>
      <c r="E18" s="2">
        <f>SUM(E6:E17)</f>
        <v>206</v>
      </c>
      <c r="F18" s="2">
        <f>IF(SUM(C18:E21)=SUM(F6:F17),SUM(F6:F17),"Error")</f>
        <v>1521</v>
      </c>
    </row>
    <row r="19" spans="1:6" x14ac:dyDescent="0.25">
      <c r="A19" s="4"/>
      <c r="B19" s="3"/>
      <c r="C19" s="2"/>
      <c r="D19" s="2"/>
      <c r="E19" s="2"/>
      <c r="F19" s="2"/>
    </row>
    <row r="20" spans="1:6" x14ac:dyDescent="0.25">
      <c r="A20" s="4"/>
      <c r="B20" s="3"/>
      <c r="C20" s="2"/>
      <c r="D20" s="2"/>
      <c r="E20" s="2"/>
      <c r="F20" s="2"/>
    </row>
    <row r="21" spans="1:6" x14ac:dyDescent="0.25">
      <c r="A21" s="4"/>
      <c r="B21" s="3"/>
      <c r="C21" s="2"/>
      <c r="D21" s="2"/>
      <c r="E21" s="2"/>
      <c r="F21" s="2"/>
    </row>
  </sheetData>
  <mergeCells count="30">
    <mergeCell ref="A1:B2"/>
    <mergeCell ref="C1:F1"/>
    <mergeCell ref="H1:L1"/>
    <mergeCell ref="C2:C5"/>
    <mergeCell ref="D2:D5"/>
    <mergeCell ref="E2:E5"/>
    <mergeCell ref="F2:F5"/>
    <mergeCell ref="I2:L2"/>
    <mergeCell ref="A3:B5"/>
    <mergeCell ref="F6:F9"/>
    <mergeCell ref="B10:B13"/>
    <mergeCell ref="C10:C13"/>
    <mergeCell ref="D10:D13"/>
    <mergeCell ref="E10:E13"/>
    <mergeCell ref="F10:F13"/>
    <mergeCell ref="A6:A21"/>
    <mergeCell ref="B6:B9"/>
    <mergeCell ref="C6:C9"/>
    <mergeCell ref="D6:D9"/>
    <mergeCell ref="E6:E9"/>
    <mergeCell ref="B14:B17"/>
    <mergeCell ref="C14:C17"/>
    <mergeCell ref="D14:D17"/>
    <mergeCell ref="E14:E17"/>
    <mergeCell ref="F14:F17"/>
    <mergeCell ref="B18:B21"/>
    <mergeCell ref="C18:C21"/>
    <mergeCell ref="D18:D21"/>
    <mergeCell ref="E18:E21"/>
    <mergeCell ref="F18:F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0379-E917-4953-90E5-2A4F73CAD950}">
  <dimension ref="A1:L21"/>
  <sheetViews>
    <sheetView zoomScaleNormal="100" workbookViewId="0">
      <selection activeCell="C10" sqref="C10:C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6" t="s">
        <v>14</v>
      </c>
      <c r="B1" s="6"/>
      <c r="C1" s="2" t="s">
        <v>3</v>
      </c>
      <c r="D1" s="2"/>
      <c r="E1" s="2"/>
      <c r="F1" s="2"/>
      <c r="H1" s="7" t="s">
        <v>15</v>
      </c>
      <c r="I1" s="7"/>
      <c r="J1" s="7"/>
      <c r="K1" s="7"/>
      <c r="L1" s="7"/>
    </row>
    <row r="2" spans="1:12" x14ac:dyDescent="0.25">
      <c r="A2" s="6"/>
      <c r="B2" s="6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9">
        <f>IF(F18=0,0,(SUM(C6,D10,E14)/F18))</f>
        <v>0.91987179487179482</v>
      </c>
      <c r="J2" s="9"/>
      <c r="K2" s="9"/>
      <c r="L2" s="9"/>
    </row>
    <row r="3" spans="1:12" x14ac:dyDescent="0.25">
      <c r="A3" s="5" t="s">
        <v>0</v>
      </c>
      <c r="B3" s="5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5"/>
      <c r="B4" s="5"/>
      <c r="C4" s="3"/>
      <c r="D4" s="3"/>
      <c r="E4" s="3"/>
      <c r="F4" s="3"/>
      <c r="H4" t="s">
        <v>2</v>
      </c>
      <c r="I4" s="1">
        <f>IF(SUM(C6:C17)=0,0,C6/SUM(C6:C17))</f>
        <v>0.99122807017543857</v>
      </c>
      <c r="J4" s="1">
        <f>IF(SUM(C6:E9)=0,0,C6/SUM(C6:E9))</f>
        <v>0.96581196581196582</v>
      </c>
      <c r="K4" s="1">
        <f>IF(I4+J4=0,0,2*((I4*J4)/(I4+J4)))</f>
        <v>0.97835497835497842</v>
      </c>
      <c r="L4">
        <f>F6</f>
        <v>117</v>
      </c>
    </row>
    <row r="5" spans="1:12" x14ac:dyDescent="0.25">
      <c r="A5" s="5"/>
      <c r="B5" s="5"/>
      <c r="C5" s="3"/>
      <c r="D5" s="3"/>
      <c r="E5" s="3"/>
      <c r="F5" s="3"/>
      <c r="H5" t="s">
        <v>6</v>
      </c>
      <c r="I5" s="1">
        <f>IF(SUM(D6:D17)=0,0,D10/SUM(D6:D17))</f>
        <v>0.96969696969696972</v>
      </c>
      <c r="J5" s="1">
        <f>IF(SUM(C10:E13)=0,0,D10/SUM(C10:E13))</f>
        <v>0.87671232876712324</v>
      </c>
      <c r="K5" s="1">
        <f>IF(I5+J5=0,0,2*((I5*J5)/(I5+J5)))</f>
        <v>0.92086330935251803</v>
      </c>
      <c r="L5">
        <f>F10</f>
        <v>146</v>
      </c>
    </row>
    <row r="6" spans="1:12" x14ac:dyDescent="0.25">
      <c r="A6" s="4" t="s">
        <v>12</v>
      </c>
      <c r="B6" s="3" t="s">
        <v>2</v>
      </c>
      <c r="C6" s="5">
        <v>113</v>
      </c>
      <c r="D6" s="5">
        <f>2</f>
        <v>2</v>
      </c>
      <c r="E6" s="5">
        <f>2</f>
        <v>2</v>
      </c>
      <c r="F6" s="2">
        <f>SUM(C6:E9)</f>
        <v>117</v>
      </c>
      <c r="H6" t="s">
        <v>4</v>
      </c>
      <c r="I6" s="1">
        <f>IF(SUM(E6:E17)=0,0,E14/SUM(E6:E17))</f>
        <v>0.69696969696969702</v>
      </c>
      <c r="J6" s="1">
        <f>IF(SUM(C14:E17)=0,0,E14/SUM(C14:E17))</f>
        <v>0.93877551020408168</v>
      </c>
      <c r="K6" s="1">
        <f>IF(I6+J6=0,0,2*((I6*J6)/(I6+J6)))</f>
        <v>0.80000000000000016</v>
      </c>
      <c r="L6">
        <f>F14</f>
        <v>49</v>
      </c>
    </row>
    <row r="7" spans="1:12" x14ac:dyDescent="0.25">
      <c r="A7" s="4"/>
      <c r="B7" s="3"/>
      <c r="C7" s="5"/>
      <c r="D7" s="5"/>
      <c r="E7" s="5"/>
      <c r="F7" s="2"/>
      <c r="H7" t="s">
        <v>13</v>
      </c>
      <c r="I7" s="1">
        <f>IF(L7=0,0,(I4*L4+I5*L5+I6*L6)/L7)</f>
        <v>0.93493896454422787</v>
      </c>
      <c r="J7" s="1">
        <f>IF(L7=0,0,(J4*L4+J5*L5+J6*L6)/L7)</f>
        <v>0.91987179487179482</v>
      </c>
      <c r="K7" s="1">
        <f>IF(L7=0,0,(K4*L4+K5*L5+K6*L6)/L7)</f>
        <v>0.92344094754166695</v>
      </c>
      <c r="L7">
        <f>SUM(L4:L6)</f>
        <v>312</v>
      </c>
    </row>
    <row r="8" spans="1:12" x14ac:dyDescent="0.25">
      <c r="A8" s="4"/>
      <c r="B8" s="3"/>
      <c r="C8" s="5"/>
      <c r="D8" s="5"/>
      <c r="E8" s="5"/>
      <c r="F8" s="2"/>
    </row>
    <row r="9" spans="1:12" x14ac:dyDescent="0.25">
      <c r="A9" s="4"/>
      <c r="B9" s="3"/>
      <c r="C9" s="5"/>
      <c r="D9" s="5"/>
      <c r="E9" s="5"/>
      <c r="F9" s="2"/>
    </row>
    <row r="10" spans="1:12" x14ac:dyDescent="0.25">
      <c r="A10" s="4"/>
      <c r="B10" s="3" t="s">
        <v>6</v>
      </c>
      <c r="C10" s="5">
        <f>0</f>
        <v>0</v>
      </c>
      <c r="D10" s="5">
        <f>91+37</f>
        <v>128</v>
      </c>
      <c r="E10" s="5">
        <f>18</f>
        <v>18</v>
      </c>
      <c r="F10" s="2">
        <f>SUM(C10:E13)</f>
        <v>146</v>
      </c>
    </row>
    <row r="11" spans="1:12" x14ac:dyDescent="0.25">
      <c r="A11" s="4"/>
      <c r="B11" s="3"/>
      <c r="C11" s="5"/>
      <c r="D11" s="5"/>
      <c r="E11" s="5"/>
      <c r="F11" s="2"/>
    </row>
    <row r="12" spans="1:12" x14ac:dyDescent="0.25">
      <c r="A12" s="4"/>
      <c r="B12" s="3"/>
      <c r="C12" s="5"/>
      <c r="D12" s="5"/>
      <c r="E12" s="5"/>
      <c r="F12" s="2"/>
    </row>
    <row r="13" spans="1:12" x14ac:dyDescent="0.25">
      <c r="A13" s="4"/>
      <c r="B13" s="3"/>
      <c r="C13" s="5"/>
      <c r="D13" s="5"/>
      <c r="E13" s="5"/>
      <c r="F13" s="2"/>
    </row>
    <row r="14" spans="1:12" x14ac:dyDescent="0.25">
      <c r="A14" s="4"/>
      <c r="B14" s="3" t="s">
        <v>4</v>
      </c>
      <c r="C14" s="5">
        <f>1</f>
        <v>1</v>
      </c>
      <c r="D14" s="5">
        <f>2</f>
        <v>2</v>
      </c>
      <c r="E14" s="5">
        <f>46</f>
        <v>46</v>
      </c>
      <c r="F14" s="2">
        <f>SUM(C14:E17)</f>
        <v>49</v>
      </c>
    </row>
    <row r="15" spans="1:12" x14ac:dyDescent="0.25">
      <c r="A15" s="4"/>
      <c r="B15" s="3"/>
      <c r="C15" s="5"/>
      <c r="D15" s="5"/>
      <c r="E15" s="5"/>
      <c r="F15" s="2"/>
    </row>
    <row r="16" spans="1:12" x14ac:dyDescent="0.25">
      <c r="A16" s="4"/>
      <c r="B16" s="3"/>
      <c r="C16" s="5"/>
      <c r="D16" s="5"/>
      <c r="E16" s="5"/>
      <c r="F16" s="2"/>
    </row>
    <row r="17" spans="1:6" x14ac:dyDescent="0.25">
      <c r="A17" s="4"/>
      <c r="B17" s="3"/>
      <c r="C17" s="5"/>
      <c r="D17" s="5"/>
      <c r="E17" s="5"/>
      <c r="F17" s="2"/>
    </row>
    <row r="18" spans="1:6" x14ac:dyDescent="0.25">
      <c r="A18" s="4"/>
      <c r="B18" s="3" t="s">
        <v>5</v>
      </c>
      <c r="C18" s="2">
        <f>SUM(C6:C17)</f>
        <v>114</v>
      </c>
      <c r="D18" s="2">
        <f>SUM(D6:D17)</f>
        <v>132</v>
      </c>
      <c r="E18" s="2">
        <f>SUM(E6:E17)</f>
        <v>66</v>
      </c>
      <c r="F18" s="2">
        <f>IF(SUM(C18:E21)=SUM(F6:F17),SUM(F6:F17),"Error")</f>
        <v>312</v>
      </c>
    </row>
    <row r="19" spans="1:6" x14ac:dyDescent="0.25">
      <c r="A19" s="4"/>
      <c r="B19" s="3"/>
      <c r="C19" s="2"/>
      <c r="D19" s="2"/>
      <c r="E19" s="2"/>
      <c r="F19" s="2"/>
    </row>
    <row r="20" spans="1:6" x14ac:dyDescent="0.25">
      <c r="A20" s="4"/>
      <c r="B20" s="3"/>
      <c r="C20" s="2"/>
      <c r="D20" s="2"/>
      <c r="E20" s="2"/>
      <c r="F20" s="2"/>
    </row>
    <row r="21" spans="1:6" x14ac:dyDescent="0.25">
      <c r="A21" s="4"/>
      <c r="B21" s="3"/>
      <c r="C21" s="2"/>
      <c r="D21" s="2"/>
      <c r="E21" s="2"/>
      <c r="F21" s="2"/>
    </row>
  </sheetData>
  <mergeCells count="29">
    <mergeCell ref="A1:B2"/>
    <mergeCell ref="C1:F1"/>
    <mergeCell ref="H1:L1"/>
    <mergeCell ref="C2:C5"/>
    <mergeCell ref="D2:D5"/>
    <mergeCell ref="E2:E5"/>
    <mergeCell ref="F2:F5"/>
    <mergeCell ref="A3:B5"/>
    <mergeCell ref="F6:F9"/>
    <mergeCell ref="B10:B13"/>
    <mergeCell ref="C10:C13"/>
    <mergeCell ref="D10:D13"/>
    <mergeCell ref="E10:E13"/>
    <mergeCell ref="F10:F13"/>
    <mergeCell ref="A6:A21"/>
    <mergeCell ref="B6:B9"/>
    <mergeCell ref="C6:C9"/>
    <mergeCell ref="D6:D9"/>
    <mergeCell ref="E6:E9"/>
    <mergeCell ref="B14:B17"/>
    <mergeCell ref="C14:C17"/>
    <mergeCell ref="D14:D17"/>
    <mergeCell ref="E14:E17"/>
    <mergeCell ref="F14:F17"/>
    <mergeCell ref="B18:B21"/>
    <mergeCell ref="C18:C21"/>
    <mergeCell ref="D18:D21"/>
    <mergeCell ref="E18:E21"/>
    <mergeCell ref="F18:F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EE8D-FE0D-4E35-AF67-A29F4DC9912B}">
  <dimension ref="A1:L21"/>
  <sheetViews>
    <sheetView workbookViewId="0">
      <selection activeCell="E24" sqref="E24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5" bestFit="1" customWidth="1"/>
  </cols>
  <sheetData>
    <row r="1" spans="1:12" x14ac:dyDescent="0.25">
      <c r="A1" s="6" t="s">
        <v>14</v>
      </c>
      <c r="B1" s="6"/>
      <c r="C1" s="2" t="s">
        <v>3</v>
      </c>
      <c r="D1" s="2"/>
      <c r="E1" s="2"/>
      <c r="F1" s="2"/>
      <c r="H1" s="7" t="s">
        <v>18</v>
      </c>
      <c r="I1" s="7"/>
      <c r="J1" s="7"/>
      <c r="K1" s="7"/>
      <c r="L1" s="7"/>
    </row>
    <row r="2" spans="1:12" x14ac:dyDescent="0.25">
      <c r="A2" s="6"/>
      <c r="B2" s="6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8">
        <f>IF(F18=0,0,(SUM(C6,D10,E14)/F18))</f>
        <v>0.94521337946943484</v>
      </c>
      <c r="J2" s="8"/>
      <c r="K2" s="8"/>
      <c r="L2" s="8"/>
    </row>
    <row r="3" spans="1:12" x14ac:dyDescent="0.25">
      <c r="A3" s="5" t="s">
        <v>17</v>
      </c>
      <c r="B3" s="5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5"/>
      <c r="B4" s="5"/>
      <c r="C4" s="3"/>
      <c r="D4" s="3"/>
      <c r="E4" s="3"/>
      <c r="F4" s="3"/>
      <c r="H4" t="s">
        <v>2</v>
      </c>
      <c r="I4" s="1">
        <f>IF(SUM(C6:C17)=0,0,C6/SUM(C6:C17))</f>
        <v>0.9812775330396476</v>
      </c>
      <c r="J4" s="1">
        <f>IF(SUM(C6:E9)=0,0,C6/SUM(C6:E9))</f>
        <v>0.97590361445783136</v>
      </c>
      <c r="K4" s="1">
        <f>IF(I4+J4=0,0,2*((I4*J4)/(I4+J4)))</f>
        <v>0.97858319604612853</v>
      </c>
      <c r="L4">
        <f>F6</f>
        <v>913</v>
      </c>
    </row>
    <row r="5" spans="1:12" x14ac:dyDescent="0.25">
      <c r="A5" s="5"/>
      <c r="B5" s="5"/>
      <c r="C5" s="3"/>
      <c r="D5" s="3"/>
      <c r="E5" s="3"/>
      <c r="F5" s="3"/>
      <c r="H5" t="s">
        <v>6</v>
      </c>
      <c r="I5" s="1">
        <f>IF(SUM(D6:D17)=0,0,D10/SUM(D6:D17))</f>
        <v>0.99168975069252074</v>
      </c>
      <c r="J5" s="1">
        <f>IF(SUM(C10:E13)=0,0,D10/SUM(C10:E13))</f>
        <v>0.93717277486910999</v>
      </c>
      <c r="K5" s="1">
        <f>IF(I5+J5=0,0,2*((I5*J5)/(I5+J5)))</f>
        <v>0.96366083445491257</v>
      </c>
      <c r="L5">
        <f>F10</f>
        <v>2292</v>
      </c>
    </row>
    <row r="6" spans="1:12" x14ac:dyDescent="0.25">
      <c r="A6" s="4" t="s">
        <v>12</v>
      </c>
      <c r="B6" s="3" t="s">
        <v>2</v>
      </c>
      <c r="C6" s="5">
        <v>891</v>
      </c>
      <c r="D6" s="5">
        <f>Tricycle!D6+Motorcycle!D6+Car!D6</f>
        <v>6</v>
      </c>
      <c r="E6" s="5">
        <f>Tricycle!E6+Motorcycle!E6+Car!E6</f>
        <v>16</v>
      </c>
      <c r="F6" s="2">
        <f>SUM(C6:E9)</f>
        <v>913</v>
      </c>
      <c r="H6" t="s">
        <v>4</v>
      </c>
      <c r="I6" s="1">
        <f>IF(SUM(E6:E17)=0,0,E14/SUM(E6:E17))</f>
        <v>0.60659898477157359</v>
      </c>
      <c r="J6" s="1">
        <f>IF(SUM(C14:E17)=0,0,E14/SUM(C14:E17))</f>
        <v>0.90874524714828897</v>
      </c>
      <c r="K6" s="1">
        <f>IF(I6+J6=0,0,2*((I6*J6)/(I6+J6)))</f>
        <v>0.72754946727549463</v>
      </c>
      <c r="L6">
        <f>F14</f>
        <v>263</v>
      </c>
    </row>
    <row r="7" spans="1:12" x14ac:dyDescent="0.25">
      <c r="A7" s="4"/>
      <c r="B7" s="3"/>
      <c r="C7" s="5"/>
      <c r="D7" s="5"/>
      <c r="E7" s="5"/>
      <c r="F7" s="2"/>
      <c r="H7" t="s">
        <v>13</v>
      </c>
      <c r="I7" s="1">
        <f>IF(L7=0,0,(I4*L4+I5*L5+I6*L6)/L7)</f>
        <v>0.959744760451955</v>
      </c>
      <c r="J7" s="1">
        <f>IF(L7=0,0,(J4*L4+J5*L5+J6*L6)/L7)</f>
        <v>0.94521337946943484</v>
      </c>
      <c r="K7" s="1">
        <f>IF(L7=0,0,(K4*L4+K5*L5+K6*L6)/L7)</f>
        <v>0.94968356414481836</v>
      </c>
      <c r="L7">
        <f>SUM(L4:L6)</f>
        <v>3468</v>
      </c>
    </row>
    <row r="8" spans="1:12" x14ac:dyDescent="0.25">
      <c r="A8" s="4"/>
      <c r="B8" s="3"/>
      <c r="C8" s="5"/>
      <c r="D8" s="5"/>
      <c r="E8" s="5"/>
      <c r="F8" s="2"/>
    </row>
    <row r="9" spans="1:12" x14ac:dyDescent="0.25">
      <c r="A9" s="4"/>
      <c r="B9" s="3"/>
      <c r="C9" s="5"/>
      <c r="D9" s="5"/>
      <c r="E9" s="5"/>
      <c r="F9" s="2"/>
    </row>
    <row r="10" spans="1:12" x14ac:dyDescent="0.25">
      <c r="A10" s="4"/>
      <c r="B10" s="3" t="s">
        <v>6</v>
      </c>
      <c r="C10" s="5">
        <f>Tricycle!C10+Motorcycle!C10+Car!C10</f>
        <v>5</v>
      </c>
      <c r="D10" s="5">
        <f>Tricycle!D10+Motorcycle!D10+Car!D10</f>
        <v>2148</v>
      </c>
      <c r="E10" s="5">
        <f>Tricycle!E10+Motorcycle!E10+Car!E10</f>
        <v>139</v>
      </c>
      <c r="F10" s="2">
        <f>SUM(C10:E13)</f>
        <v>2292</v>
      </c>
    </row>
    <row r="11" spans="1:12" x14ac:dyDescent="0.25">
      <c r="A11" s="4"/>
      <c r="B11" s="3"/>
      <c r="C11" s="5"/>
      <c r="D11" s="5"/>
      <c r="E11" s="5"/>
      <c r="F11" s="2"/>
    </row>
    <row r="12" spans="1:12" x14ac:dyDescent="0.25">
      <c r="A12" s="4"/>
      <c r="B12" s="3"/>
      <c r="C12" s="5"/>
      <c r="D12" s="5"/>
      <c r="E12" s="5"/>
      <c r="F12" s="2"/>
    </row>
    <row r="13" spans="1:12" x14ac:dyDescent="0.25">
      <c r="A13" s="4"/>
      <c r="B13" s="3"/>
      <c r="C13" s="5"/>
      <c r="D13" s="5"/>
      <c r="E13" s="5"/>
      <c r="F13" s="2"/>
    </row>
    <row r="14" spans="1:12" x14ac:dyDescent="0.25">
      <c r="A14" s="4"/>
      <c r="B14" s="3" t="s">
        <v>4</v>
      </c>
      <c r="C14" s="5">
        <f>Tricycle!C14+Motorcycle!C14+Car!C14</f>
        <v>12</v>
      </c>
      <c r="D14" s="5">
        <f>Tricycle!D14+Motorcycle!D14+Car!D14</f>
        <v>12</v>
      </c>
      <c r="E14" s="5">
        <f>Tricycle!E14+Motorcycle!E14+Car!E14</f>
        <v>239</v>
      </c>
      <c r="F14" s="2">
        <f>SUM(C14:E17)</f>
        <v>263</v>
      </c>
    </row>
    <row r="15" spans="1:12" x14ac:dyDescent="0.25">
      <c r="A15" s="4"/>
      <c r="B15" s="3"/>
      <c r="C15" s="5"/>
      <c r="D15" s="5"/>
      <c r="E15" s="5"/>
      <c r="F15" s="2"/>
    </row>
    <row r="16" spans="1:12" x14ac:dyDescent="0.25">
      <c r="A16" s="4"/>
      <c r="B16" s="3"/>
      <c r="C16" s="5"/>
      <c r="D16" s="5"/>
      <c r="E16" s="5"/>
      <c r="F16" s="2"/>
    </row>
    <row r="17" spans="1:6" x14ac:dyDescent="0.25">
      <c r="A17" s="4"/>
      <c r="B17" s="3"/>
      <c r="C17" s="5"/>
      <c r="D17" s="5"/>
      <c r="E17" s="5"/>
      <c r="F17" s="2"/>
    </row>
    <row r="18" spans="1:6" x14ac:dyDescent="0.25">
      <c r="A18" s="4"/>
      <c r="B18" s="3" t="s">
        <v>5</v>
      </c>
      <c r="C18" s="2">
        <f>SUM(C6:C17)</f>
        <v>908</v>
      </c>
      <c r="D18" s="2">
        <f>SUM(D6:D17)</f>
        <v>2166</v>
      </c>
      <c r="E18" s="2">
        <f>SUM(E6:E17)</f>
        <v>394</v>
      </c>
      <c r="F18" s="2">
        <f>IF(SUM(C18:E21)=SUM(F6:F17),SUM(F6:F17),"Error")</f>
        <v>3468</v>
      </c>
    </row>
    <row r="19" spans="1:6" x14ac:dyDescent="0.25">
      <c r="A19" s="4"/>
      <c r="B19" s="3"/>
      <c r="C19" s="2"/>
      <c r="D19" s="2"/>
      <c r="E19" s="2"/>
      <c r="F19" s="2"/>
    </row>
    <row r="20" spans="1:6" x14ac:dyDescent="0.25">
      <c r="A20" s="4"/>
      <c r="B20" s="3"/>
      <c r="C20" s="2"/>
      <c r="D20" s="2"/>
      <c r="E20" s="2"/>
      <c r="F20" s="2"/>
    </row>
    <row r="21" spans="1:6" x14ac:dyDescent="0.25">
      <c r="A21" s="4"/>
      <c r="B21" s="3"/>
      <c r="C21" s="2"/>
      <c r="D21" s="2"/>
      <c r="E21" s="2"/>
      <c r="F21" s="2"/>
    </row>
  </sheetData>
  <mergeCells count="30">
    <mergeCell ref="F14:F17"/>
    <mergeCell ref="B18:B21"/>
    <mergeCell ref="C18:C21"/>
    <mergeCell ref="D18:D21"/>
    <mergeCell ref="E18:E21"/>
    <mergeCell ref="F18:F21"/>
    <mergeCell ref="A6:A21"/>
    <mergeCell ref="B6:B9"/>
    <mergeCell ref="C6:C9"/>
    <mergeCell ref="D6:D9"/>
    <mergeCell ref="E6:E9"/>
    <mergeCell ref="B14:B17"/>
    <mergeCell ref="C14:C17"/>
    <mergeCell ref="D14:D17"/>
    <mergeCell ref="E14:E17"/>
    <mergeCell ref="F6:F9"/>
    <mergeCell ref="B10:B13"/>
    <mergeCell ref="C10:C13"/>
    <mergeCell ref="D10:D13"/>
    <mergeCell ref="E10:E13"/>
    <mergeCell ref="F10:F13"/>
    <mergeCell ref="A1:B2"/>
    <mergeCell ref="C1:F1"/>
    <mergeCell ref="H1:L1"/>
    <mergeCell ref="C2:C5"/>
    <mergeCell ref="D2:D5"/>
    <mergeCell ref="E2:E5"/>
    <mergeCell ref="F2:F5"/>
    <mergeCell ref="I2:L2"/>
    <mergeCell ref="A3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Tricycle</vt:lpstr>
      <vt:lpstr>Motorcycle</vt:lpstr>
      <vt:lpstr>Car</vt:lpstr>
      <vt:lpstr>Overall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2026-04-24T10:11:35Z</dcterms:modified>
</cp:coreProperties>
</file>
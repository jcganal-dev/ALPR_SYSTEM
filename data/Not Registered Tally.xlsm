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PR_RV2C\"/>
    </mc:Choice>
  </mc:AlternateContent>
  <xr:revisionPtr revIDLastSave="0" documentId="13_ncr:1_{087B657F-52A2-4EB2-B4FC-615340C22A4A}" xr6:coauthVersionLast="47" xr6:coauthVersionMax="47" xr10:uidLastSave="{00000000-0000-0000-0000-000000000000}"/>
  <bookViews>
    <workbookView xWindow="-120" yWindow="-120" windowWidth="20730" windowHeight="11760" activeTab="2" xr2:uid="{58F2EC7D-60B7-497E-945B-6A38B5A21958}"/>
  </bookViews>
  <sheets>
    <sheet name="Tricycle" sheetId="5" r:id="rId1"/>
    <sheet name="Motorcycle" sheetId="6" r:id="rId2"/>
    <sheet name="Car" sheetId="7" r:id="rId3"/>
    <sheet name="Overall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7" l="1"/>
  <c r="D10" i="7"/>
  <c r="D10" i="6"/>
  <c r="D10" i="5"/>
  <c r="D6" i="6" l="1"/>
  <c r="J4" i="6" s="1"/>
  <c r="D10" i="10"/>
  <c r="J6" i="7"/>
  <c r="K6" i="7" s="1"/>
  <c r="I5" i="7"/>
  <c r="E14" i="10"/>
  <c r="I6" i="10" s="1"/>
  <c r="E10" i="10"/>
  <c r="E6" i="10"/>
  <c r="D14" i="10"/>
  <c r="D6" i="10"/>
  <c r="C14" i="10"/>
  <c r="C10" i="10"/>
  <c r="C6" i="10"/>
  <c r="I5" i="6"/>
  <c r="F10" i="5"/>
  <c r="L5" i="5" s="1"/>
  <c r="E18" i="7"/>
  <c r="C18" i="7"/>
  <c r="F14" i="7"/>
  <c r="L6" i="7" s="1"/>
  <c r="F10" i="7"/>
  <c r="L5" i="7" s="1"/>
  <c r="I6" i="7"/>
  <c r="F6" i="7"/>
  <c r="L4" i="7" s="1"/>
  <c r="J5" i="7"/>
  <c r="J4" i="7"/>
  <c r="I4" i="7"/>
  <c r="E18" i="6"/>
  <c r="C18" i="6"/>
  <c r="F14" i="6"/>
  <c r="L6" i="6" s="1"/>
  <c r="J6" i="6"/>
  <c r="K6" i="6" s="1"/>
  <c r="I6" i="6"/>
  <c r="F6" i="6"/>
  <c r="L4" i="6" s="1"/>
  <c r="J5" i="6"/>
  <c r="I4" i="6"/>
  <c r="J6" i="5"/>
  <c r="I6" i="5"/>
  <c r="J5" i="5"/>
  <c r="I5" i="5"/>
  <c r="J4" i="5"/>
  <c r="I4" i="5"/>
  <c r="E18" i="5"/>
  <c r="D18" i="5"/>
  <c r="C18" i="5"/>
  <c r="F14" i="5"/>
  <c r="L6" i="5" s="1"/>
  <c r="F6" i="5"/>
  <c r="L4" i="5" s="1"/>
  <c r="K6" i="5" l="1"/>
  <c r="J4" i="10"/>
  <c r="D18" i="7"/>
  <c r="J5" i="10"/>
  <c r="E18" i="10"/>
  <c r="F6" i="10"/>
  <c r="L4" i="10" s="1"/>
  <c r="F14" i="10"/>
  <c r="L6" i="10" s="1"/>
  <c r="F10" i="10"/>
  <c r="L5" i="10" s="1"/>
  <c r="I5" i="10"/>
  <c r="D18" i="10"/>
  <c r="J6" i="10"/>
  <c r="K6" i="10" s="1"/>
  <c r="I4" i="10"/>
  <c r="K4" i="10" s="1"/>
  <c r="C18" i="10"/>
  <c r="F10" i="6"/>
  <c r="L5" i="6" s="1"/>
  <c r="D18" i="6"/>
  <c r="L7" i="7"/>
  <c r="K4" i="7"/>
  <c r="K4" i="6"/>
  <c r="K5" i="7"/>
  <c r="F18" i="7"/>
  <c r="I2" i="7" s="1"/>
  <c r="L7" i="6"/>
  <c r="I7" i="6" s="1"/>
  <c r="K5" i="6"/>
  <c r="I7" i="7"/>
  <c r="J7" i="7"/>
  <c r="K4" i="5"/>
  <c r="K5" i="5"/>
  <c r="L7" i="5"/>
  <c r="F18" i="5"/>
  <c r="I2" i="5" s="1"/>
  <c r="K5" i="10" l="1"/>
  <c r="F18" i="6"/>
  <c r="I2" i="6" s="1"/>
  <c r="K7" i="7"/>
  <c r="L7" i="10"/>
  <c r="J7" i="10" s="1"/>
  <c r="F18" i="10"/>
  <c r="I2" i="10" s="1"/>
  <c r="J7" i="6"/>
  <c r="K7" i="6"/>
  <c r="K7" i="5"/>
  <c r="I7" i="5"/>
  <c r="J7" i="5"/>
  <c r="I7" i="10" l="1"/>
  <c r="K7" i="10"/>
</calcChain>
</file>

<file path=xl/sharedStrings.xml><?xml version="1.0" encoding="utf-8"?>
<sst xmlns="http://schemas.openxmlformats.org/spreadsheetml/2006/main" count="88" uniqueCount="17">
  <si>
    <t>Car</t>
  </si>
  <si>
    <t>Tricycle</t>
  </si>
  <si>
    <t>Registered</t>
  </si>
  <si>
    <t>Predicted</t>
  </si>
  <si>
    <t>Unidentifiable</t>
  </si>
  <si>
    <t>TOTAL</t>
  </si>
  <si>
    <t>Not Registered</t>
  </si>
  <si>
    <t>Accuracy</t>
  </si>
  <si>
    <t>Precision</t>
  </si>
  <si>
    <t>Recall</t>
  </si>
  <si>
    <t>F1-Score</t>
  </si>
  <si>
    <t>TC</t>
  </si>
  <si>
    <t>True Values</t>
  </si>
  <si>
    <t>Weigthed Average</t>
  </si>
  <si>
    <t>Class</t>
  </si>
  <si>
    <t>Tricycle Statistics</t>
  </si>
  <si>
    <t>Motorcycle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</si>
</sst>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45"/>
    </xf>
    <xf numFmtId="10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1" name="Rectangle 20">
          <a:extLst>
            <a:ext uri="{FF2B5EF4-FFF2-40B4-BE49-F238E27FC236}">
              <a16:creationId xmlns:a16="http://schemas.microsoft.com/office/drawing/2014/main" id="{ADF0F481-84F2-4B47-9D6E-7E5FB9DCFB2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3" name="Rectangle 2">
          <a:extLst>
            <a:ext uri="{FF2B5EF4-FFF2-40B4-BE49-F238E27FC236}">
              <a16:creationId xmlns:a16="http://schemas.microsoft.com/office/drawing/2014/main" id="{6F560968-7FD2-4D76-BE03-35C2A0A15F1A}"/>
            </a:ext>
          </a:extLst>
        </xdr:cNvPr>
        <xdr:cNvSpPr/>
      </xdr:nvSpPr>
      <xdr:spPr>
        <a:xfrm>
          <a:off x="1075910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3" name="Rectangle 2">
          <a:extLst>
            <a:ext uri="{FF2B5EF4-FFF2-40B4-BE49-F238E27FC236}">
              <a16:creationId xmlns:a16="http://schemas.microsoft.com/office/drawing/2014/main" id="{B0264CDC-AB65-463F-9830-67F11A080EA3}"/>
            </a:ext>
          </a:extLst>
        </xdr:cNvPr>
        <xdr:cNvSpPr/>
      </xdr:nvSpPr>
      <xdr:spPr>
        <a:xfrm>
          <a:off x="1075910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3" name="Rectangle 2">
          <a:extLst>
            <a:ext uri="{FF2B5EF4-FFF2-40B4-BE49-F238E27FC236}">
              <a16:creationId xmlns:a16="http://schemas.microsoft.com/office/drawing/2014/main" id="{05823AA9-1867-42FB-9F59-07EA59162471}"/>
            </a:ext>
          </a:extLst>
        </xdr:cNvPr>
        <xdr:cNvSpPr/>
      </xdr:nvSpPr>
      <xdr:spPr>
        <a:xfrm>
          <a:off x="1075910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8479-AF9A-444F-A481-AEED01606520}">
  <sheetPr codeName="Sheet5"/>
  <dimension ref="A1:L21"/>
  <sheetViews>
    <sheetView zoomScaleNormal="100" workbookViewId="0">
      <selection activeCell="F24" sqref="F24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2" t="s">
        <v>14</v>
      </c>
      <c r="B1" s="2"/>
      <c r="C1" s="3" t="s">
        <v>3</v>
      </c>
      <c r="D1" s="3"/>
      <c r="E1" s="3"/>
      <c r="F1" s="3"/>
      <c r="H1" s="4" t="s">
        <v>15</v>
      </c>
      <c r="I1" s="4"/>
      <c r="J1" s="4"/>
      <c r="K1" s="4"/>
      <c r="L1" s="4"/>
    </row>
    <row r="2" spans="1:12" x14ac:dyDescent="0.25">
      <c r="A2" s="2"/>
      <c r="B2" s="2"/>
      <c r="C2" s="5" t="s">
        <v>2</v>
      </c>
      <c r="D2" s="5" t="s">
        <v>6</v>
      </c>
      <c r="E2" s="5" t="s">
        <v>4</v>
      </c>
      <c r="F2" s="5" t="s">
        <v>5</v>
      </c>
      <c r="H2" t="s">
        <v>7</v>
      </c>
      <c r="I2" s="6">
        <f>IF(F18=0,0,(SUM(C6,D10,E14)/F18))</f>
        <v>0.99196326061997708</v>
      </c>
      <c r="J2" s="6"/>
      <c r="K2" s="6"/>
      <c r="L2" s="6"/>
    </row>
    <row r="3" spans="1:12" x14ac:dyDescent="0.25">
      <c r="A3" s="7" t="s">
        <v>1</v>
      </c>
      <c r="B3" s="7"/>
      <c r="C3" s="5"/>
      <c r="D3" s="5"/>
      <c r="E3" s="5"/>
      <c r="F3" s="5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7"/>
      <c r="B4" s="7"/>
      <c r="C4" s="5"/>
      <c r="D4" s="5"/>
      <c r="E4" s="5"/>
      <c r="F4" s="5"/>
      <c r="H4" t="s">
        <v>2</v>
      </c>
      <c r="I4" s="1">
        <f>IF(SUM(C6:C17)=0,0,C6/SUM(C6:C17))</f>
        <v>0</v>
      </c>
      <c r="J4" s="1">
        <f>IF(SUM(C6:E9)=0,0,C6/SUM(C6:E9))</f>
        <v>0</v>
      </c>
      <c r="K4" s="1">
        <f>IF(I4+J4=0,0,2*((I4*J4)/(I4+J4)))</f>
        <v>0</v>
      </c>
      <c r="L4">
        <f>F6</f>
        <v>1</v>
      </c>
    </row>
    <row r="5" spans="1:12" x14ac:dyDescent="0.25">
      <c r="A5" s="7"/>
      <c r="B5" s="7"/>
      <c r="C5" s="5"/>
      <c r="D5" s="5"/>
      <c r="E5" s="5"/>
      <c r="F5" s="5"/>
      <c r="H5" t="s">
        <v>6</v>
      </c>
      <c r="I5" s="1">
        <f>IF(SUM(D6:D17)=0,0,D10/SUM(D6:D17))</f>
        <v>0.99196326061997708</v>
      </c>
      <c r="J5" s="1">
        <f>IF(SUM(C10:E13)=0,0,D10/SUM(C10:E13))</f>
        <v>1</v>
      </c>
      <c r="K5" s="1">
        <f>IF(I5+J5=0,0,2*((I5*J5)/(I5+J5)))</f>
        <v>0.9959654178674352</v>
      </c>
      <c r="L5">
        <f>F10</f>
        <v>864</v>
      </c>
    </row>
    <row r="6" spans="1:12" x14ac:dyDescent="0.25">
      <c r="A6" s="8" t="s">
        <v>12</v>
      </c>
      <c r="B6" s="5" t="s">
        <v>2</v>
      </c>
      <c r="C6" s="7">
        <v>0</v>
      </c>
      <c r="D6" s="7">
        <v>1</v>
      </c>
      <c r="E6" s="7">
        <v>0</v>
      </c>
      <c r="F6" s="3">
        <f>SUM(C6:E9)</f>
        <v>1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6</v>
      </c>
    </row>
    <row r="7" spans="1:12" x14ac:dyDescent="0.25">
      <c r="A7" s="8"/>
      <c r="B7" s="5"/>
      <c r="C7" s="7"/>
      <c r="D7" s="7"/>
      <c r="E7" s="7"/>
      <c r="F7" s="3"/>
      <c r="H7" t="s">
        <v>13</v>
      </c>
      <c r="I7" s="1">
        <f>IF(L7=0,0,(I4*L4+I5*L5+I6*L6)/L7)</f>
        <v>0.98399111041981657</v>
      </c>
      <c r="J7" s="1">
        <f>IF(L7=0,0,(J4*L4+J5*L5+J6*L6)/L7)</f>
        <v>0.99196326061997708</v>
      </c>
      <c r="K7" s="1">
        <f>IF(L7=0,0,(K4*L4+K5*L5+K6*L6)/L7)</f>
        <v>0.98796110337251897</v>
      </c>
      <c r="L7">
        <f>SUM(L4:L6)</f>
        <v>871</v>
      </c>
    </row>
    <row r="8" spans="1:12" x14ac:dyDescent="0.25">
      <c r="A8" s="8"/>
      <c r="B8" s="5"/>
      <c r="C8" s="7"/>
      <c r="D8" s="7"/>
      <c r="E8" s="7"/>
      <c r="F8" s="3"/>
    </row>
    <row r="9" spans="1:12" x14ac:dyDescent="0.25">
      <c r="A9" s="8"/>
      <c r="B9" s="5"/>
      <c r="C9" s="7"/>
      <c r="D9" s="7"/>
      <c r="E9" s="7"/>
      <c r="F9" s="3"/>
    </row>
    <row r="10" spans="1:12" x14ac:dyDescent="0.25">
      <c r="A10" s="8"/>
      <c r="B10" s="5" t="s">
        <v>6</v>
      </c>
      <c r="C10" s="7">
        <v>0</v>
      </c>
      <c r="D10" s="7">
        <f>347+277+240</f>
        <v>864</v>
      </c>
      <c r="E10" s="7">
        <v>0</v>
      </c>
      <c r="F10" s="3">
        <f>SUM(C10:E13)</f>
        <v>864</v>
      </c>
    </row>
    <row r="11" spans="1:12" x14ac:dyDescent="0.25">
      <c r="A11" s="8"/>
      <c r="B11" s="5"/>
      <c r="C11" s="7"/>
      <c r="D11" s="7"/>
      <c r="E11" s="7"/>
      <c r="F11" s="3"/>
    </row>
    <row r="12" spans="1:12" x14ac:dyDescent="0.25">
      <c r="A12" s="8"/>
      <c r="B12" s="5"/>
      <c r="C12" s="7"/>
      <c r="D12" s="7"/>
      <c r="E12" s="7"/>
      <c r="F12" s="3"/>
    </row>
    <row r="13" spans="1:12" x14ac:dyDescent="0.25">
      <c r="A13" s="8"/>
      <c r="B13" s="5"/>
      <c r="C13" s="7"/>
      <c r="D13" s="7"/>
      <c r="E13" s="7"/>
      <c r="F13" s="3"/>
    </row>
    <row r="14" spans="1:12" x14ac:dyDescent="0.25">
      <c r="A14" s="8"/>
      <c r="B14" s="5" t="s">
        <v>4</v>
      </c>
      <c r="C14" s="7">
        <v>0</v>
      </c>
      <c r="D14" s="7">
        <v>6</v>
      </c>
      <c r="E14" s="7">
        <v>0</v>
      </c>
      <c r="F14" s="3">
        <f>SUM(C14:E17)</f>
        <v>6</v>
      </c>
    </row>
    <row r="15" spans="1:12" x14ac:dyDescent="0.25">
      <c r="A15" s="8"/>
      <c r="B15" s="5"/>
      <c r="C15" s="7"/>
      <c r="D15" s="7"/>
      <c r="E15" s="7"/>
      <c r="F15" s="3"/>
    </row>
    <row r="16" spans="1:12" x14ac:dyDescent="0.25">
      <c r="A16" s="8"/>
      <c r="B16" s="5"/>
      <c r="C16" s="7"/>
      <c r="D16" s="7"/>
      <c r="E16" s="7"/>
      <c r="F16" s="3"/>
    </row>
    <row r="17" spans="1:6" x14ac:dyDescent="0.25">
      <c r="A17" s="8"/>
      <c r="B17" s="5"/>
      <c r="C17" s="7"/>
      <c r="D17" s="7"/>
      <c r="E17" s="7"/>
      <c r="F17" s="3"/>
    </row>
    <row r="18" spans="1:6" x14ac:dyDescent="0.25">
      <c r="A18" s="8"/>
      <c r="B18" s="5" t="s">
        <v>5</v>
      </c>
      <c r="C18" s="3">
        <f>SUM(C6:C17)</f>
        <v>0</v>
      </c>
      <c r="D18" s="3">
        <f>SUM(D6:D17)</f>
        <v>871</v>
      </c>
      <c r="E18" s="3">
        <f>SUM(E6:E17)</f>
        <v>0</v>
      </c>
      <c r="F18" s="3">
        <f>IF(SUM(C18:E21)=SUM(F6:F17),SUM(F6:F17),"Error")</f>
        <v>871</v>
      </c>
    </row>
    <row r="19" spans="1:6" x14ac:dyDescent="0.25">
      <c r="A19" s="8"/>
      <c r="B19" s="5"/>
      <c r="C19" s="3"/>
      <c r="D19" s="3"/>
      <c r="E19" s="3"/>
      <c r="F19" s="3"/>
    </row>
    <row r="20" spans="1:6" x14ac:dyDescent="0.25">
      <c r="A20" s="8"/>
      <c r="B20" s="5"/>
      <c r="C20" s="3"/>
      <c r="D20" s="3"/>
      <c r="E20" s="3"/>
      <c r="F20" s="3"/>
    </row>
    <row r="21" spans="1:6" x14ac:dyDescent="0.25">
      <c r="A21" s="8"/>
      <c r="B21" s="5"/>
      <c r="C21" s="3"/>
      <c r="D21" s="3"/>
      <c r="E21" s="3"/>
      <c r="F21" s="3"/>
    </row>
  </sheetData>
  <mergeCells count="30">
    <mergeCell ref="E18:E21"/>
    <mergeCell ref="E6:E9"/>
    <mergeCell ref="B10:B13"/>
    <mergeCell ref="C10:C13"/>
    <mergeCell ref="D10:D13"/>
    <mergeCell ref="E10:E13"/>
    <mergeCell ref="A3:B5"/>
    <mergeCell ref="A6:A21"/>
    <mergeCell ref="B6:B9"/>
    <mergeCell ref="C6:C9"/>
    <mergeCell ref="D6:D9"/>
    <mergeCell ref="B18:B21"/>
    <mergeCell ref="C18:C21"/>
    <mergeCell ref="D18:D21"/>
    <mergeCell ref="F18:F21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8198-1B67-463E-9D5B-4A01D6685DC4}">
  <dimension ref="A1:L21"/>
  <sheetViews>
    <sheetView workbookViewId="0">
      <selection activeCell="D18" sqref="D18:D21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2" t="s">
        <v>14</v>
      </c>
      <c r="B1" s="2"/>
      <c r="C1" s="3" t="s">
        <v>3</v>
      </c>
      <c r="D1" s="3"/>
      <c r="E1" s="3"/>
      <c r="F1" s="3"/>
      <c r="H1" s="4" t="s">
        <v>15</v>
      </c>
      <c r="I1" s="4"/>
      <c r="J1" s="4"/>
      <c r="K1" s="4"/>
      <c r="L1" s="4"/>
    </row>
    <row r="2" spans="1:12" x14ac:dyDescent="0.25">
      <c r="A2" s="2"/>
      <c r="B2" s="2"/>
      <c r="C2" s="5" t="s">
        <v>2</v>
      </c>
      <c r="D2" s="5" t="s">
        <v>6</v>
      </c>
      <c r="E2" s="5" t="s">
        <v>4</v>
      </c>
      <c r="F2" s="5" t="s">
        <v>5</v>
      </c>
      <c r="H2" t="s">
        <v>7</v>
      </c>
      <c r="I2" s="6">
        <f>IF(F18=0,0,(SUM(C6,D10,E14)/F18))</f>
        <v>0.98962962962962964</v>
      </c>
      <c r="J2" s="6"/>
      <c r="K2" s="6"/>
      <c r="L2" s="6"/>
    </row>
    <row r="3" spans="1:12" x14ac:dyDescent="0.25">
      <c r="A3" s="7" t="s">
        <v>16</v>
      </c>
      <c r="B3" s="7"/>
      <c r="C3" s="5"/>
      <c r="D3" s="5"/>
      <c r="E3" s="5"/>
      <c r="F3" s="5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7"/>
      <c r="B4" s="7"/>
      <c r="C4" s="5"/>
      <c r="D4" s="5"/>
      <c r="E4" s="5"/>
      <c r="F4" s="5"/>
      <c r="H4" t="s">
        <v>2</v>
      </c>
      <c r="I4" s="1">
        <f>IF(SUM(C6:C17)=0,0,C6/SUM(C6:C17))</f>
        <v>0</v>
      </c>
      <c r="J4" s="1">
        <f>IF(SUM(C6:E9)=0,0,C6/SUM(C6:E9))</f>
        <v>0</v>
      </c>
      <c r="K4" s="1">
        <f>IF(I4+J4=0,0,2*((I4*J4)/(I4+J4)))</f>
        <v>0</v>
      </c>
      <c r="L4">
        <f>F6</f>
        <v>3</v>
      </c>
    </row>
    <row r="5" spans="1:12" x14ac:dyDescent="0.25">
      <c r="A5" s="7"/>
      <c r="B5" s="7"/>
      <c r="C5" s="5"/>
      <c r="D5" s="5"/>
      <c r="E5" s="5"/>
      <c r="F5" s="5"/>
      <c r="H5" t="s">
        <v>6</v>
      </c>
      <c r="I5" s="1">
        <f>IF(SUM(D6:D17)=0,0,D10/SUM(D6:D17))</f>
        <v>0.98962962962962964</v>
      </c>
      <c r="J5" s="1">
        <f>IF(SUM(C10:E13)=0,0,D10/SUM(C10:E13))</f>
        <v>1</v>
      </c>
      <c r="K5" s="1">
        <f>IF(I5+J5=0,0,2*((I5*J5)/(I5+J5)))</f>
        <v>0.99478778853313476</v>
      </c>
      <c r="L5">
        <f>F10</f>
        <v>668</v>
      </c>
    </row>
    <row r="6" spans="1:12" x14ac:dyDescent="0.25">
      <c r="A6" s="8" t="s">
        <v>12</v>
      </c>
      <c r="B6" s="5" t="s">
        <v>2</v>
      </c>
      <c r="C6" s="7">
        <v>0</v>
      </c>
      <c r="D6" s="7">
        <f>1+2</f>
        <v>3</v>
      </c>
      <c r="E6" s="7">
        <v>0</v>
      </c>
      <c r="F6" s="3">
        <f>SUM(C6:E9)</f>
        <v>3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4</v>
      </c>
    </row>
    <row r="7" spans="1:12" x14ac:dyDescent="0.25">
      <c r="A7" s="8"/>
      <c r="B7" s="5"/>
      <c r="C7" s="7"/>
      <c r="D7" s="7"/>
      <c r="E7" s="7"/>
      <c r="F7" s="3"/>
      <c r="H7" t="s">
        <v>13</v>
      </c>
      <c r="I7" s="1">
        <f>IF(L7=0,0,(I4*L4+I5*L5+I6*L6)/L7)</f>
        <v>0.97936680384087793</v>
      </c>
      <c r="J7" s="1">
        <f>IF(L7=0,0,(J4*L4+J5*L5+J6*L6)/L7)</f>
        <v>0.98962962962962964</v>
      </c>
      <c r="K7" s="1">
        <f>IF(L7=0,0,(K4*L4+K5*L5+K6*L6)/L7)</f>
        <v>0.98447147072612451</v>
      </c>
      <c r="L7">
        <f>SUM(L4:L6)</f>
        <v>675</v>
      </c>
    </row>
    <row r="8" spans="1:12" x14ac:dyDescent="0.25">
      <c r="A8" s="8"/>
      <c r="B8" s="5"/>
      <c r="C8" s="7"/>
      <c r="D8" s="7"/>
      <c r="E8" s="7"/>
      <c r="F8" s="3"/>
    </row>
    <row r="9" spans="1:12" x14ac:dyDescent="0.25">
      <c r="A9" s="8"/>
      <c r="B9" s="5"/>
      <c r="C9" s="7"/>
      <c r="D9" s="7"/>
      <c r="E9" s="7"/>
      <c r="F9" s="3"/>
    </row>
    <row r="10" spans="1:12" x14ac:dyDescent="0.25">
      <c r="A10" s="8"/>
      <c r="B10" s="5" t="s">
        <v>6</v>
      </c>
      <c r="C10" s="7">
        <v>0</v>
      </c>
      <c r="D10" s="7">
        <f>171+255+242</f>
        <v>668</v>
      </c>
      <c r="E10" s="7">
        <v>0</v>
      </c>
      <c r="F10" s="3">
        <f>SUM(C10:E13)</f>
        <v>668</v>
      </c>
    </row>
    <row r="11" spans="1:12" x14ac:dyDescent="0.25">
      <c r="A11" s="8"/>
      <c r="B11" s="5"/>
      <c r="C11" s="7"/>
      <c r="D11" s="7"/>
      <c r="E11" s="7"/>
      <c r="F11" s="3"/>
    </row>
    <row r="12" spans="1:12" x14ac:dyDescent="0.25">
      <c r="A12" s="8"/>
      <c r="B12" s="5"/>
      <c r="C12" s="7"/>
      <c r="D12" s="7"/>
      <c r="E12" s="7"/>
      <c r="F12" s="3"/>
    </row>
    <row r="13" spans="1:12" x14ac:dyDescent="0.25">
      <c r="A13" s="8"/>
      <c r="B13" s="5"/>
      <c r="C13" s="7"/>
      <c r="D13" s="7"/>
      <c r="E13" s="7"/>
      <c r="F13" s="3"/>
    </row>
    <row r="14" spans="1:12" x14ac:dyDescent="0.25">
      <c r="A14" s="8"/>
      <c r="B14" s="5" t="s">
        <v>4</v>
      </c>
      <c r="C14" s="7">
        <v>0</v>
      </c>
      <c r="D14" s="7">
        <v>4</v>
      </c>
      <c r="E14" s="7">
        <v>0</v>
      </c>
      <c r="F14" s="3">
        <f>SUM(C14:E17)</f>
        <v>4</v>
      </c>
    </row>
    <row r="15" spans="1:12" x14ac:dyDescent="0.25">
      <c r="A15" s="8"/>
      <c r="B15" s="5"/>
      <c r="C15" s="7"/>
      <c r="D15" s="7"/>
      <c r="E15" s="7"/>
      <c r="F15" s="3"/>
    </row>
    <row r="16" spans="1:12" x14ac:dyDescent="0.25">
      <c r="A16" s="8"/>
      <c r="B16" s="5"/>
      <c r="C16" s="7"/>
      <c r="D16" s="7"/>
      <c r="E16" s="7"/>
      <c r="F16" s="3"/>
    </row>
    <row r="17" spans="1:6" x14ac:dyDescent="0.25">
      <c r="A17" s="8"/>
      <c r="B17" s="5"/>
      <c r="C17" s="7"/>
      <c r="D17" s="7"/>
      <c r="E17" s="7"/>
      <c r="F17" s="3"/>
    </row>
    <row r="18" spans="1:6" x14ac:dyDescent="0.25">
      <c r="A18" s="8"/>
      <c r="B18" s="5" t="s">
        <v>5</v>
      </c>
      <c r="C18" s="3">
        <f>SUM(C6:C17)</f>
        <v>0</v>
      </c>
      <c r="D18" s="3">
        <f>SUM(D6:D17)</f>
        <v>675</v>
      </c>
      <c r="E18" s="3">
        <f>SUM(E6:E17)</f>
        <v>0</v>
      </c>
      <c r="F18" s="3">
        <f>IF(SUM(C18:E21)=SUM(F6:F17),SUM(F6:F17),"Error")</f>
        <v>675</v>
      </c>
    </row>
    <row r="19" spans="1:6" x14ac:dyDescent="0.25">
      <c r="A19" s="8"/>
      <c r="B19" s="5"/>
      <c r="C19" s="3"/>
      <c r="D19" s="3"/>
      <c r="E19" s="3"/>
      <c r="F19" s="3"/>
    </row>
    <row r="20" spans="1:6" x14ac:dyDescent="0.25">
      <c r="A20" s="8"/>
      <c r="B20" s="5"/>
      <c r="C20" s="3"/>
      <c r="D20" s="3"/>
      <c r="E20" s="3"/>
      <c r="F20" s="3"/>
    </row>
    <row r="21" spans="1:6" x14ac:dyDescent="0.25">
      <c r="A21" s="8"/>
      <c r="B21" s="5"/>
      <c r="C21" s="3"/>
      <c r="D21" s="3"/>
      <c r="E21" s="3"/>
      <c r="F21" s="3"/>
    </row>
  </sheetData>
  <mergeCells count="30">
    <mergeCell ref="F14:F17"/>
    <mergeCell ref="B18:B21"/>
    <mergeCell ref="C18:C21"/>
    <mergeCell ref="D18:D21"/>
    <mergeCell ref="E18:E21"/>
    <mergeCell ref="F18:F21"/>
    <mergeCell ref="A6:A21"/>
    <mergeCell ref="B6:B9"/>
    <mergeCell ref="C6:C9"/>
    <mergeCell ref="D6:D9"/>
    <mergeCell ref="E6:E9"/>
    <mergeCell ref="B14:B17"/>
    <mergeCell ref="C14:C17"/>
    <mergeCell ref="D14:D17"/>
    <mergeCell ref="E14:E17"/>
    <mergeCell ref="F6:F9"/>
    <mergeCell ref="B10:B13"/>
    <mergeCell ref="C10:C13"/>
    <mergeCell ref="D10:D13"/>
    <mergeCell ref="E10:E13"/>
    <mergeCell ref="F10:F13"/>
    <mergeCell ref="A1:B2"/>
    <mergeCell ref="C1:F1"/>
    <mergeCell ref="H1:L1"/>
    <mergeCell ref="C2:C5"/>
    <mergeCell ref="D2:D5"/>
    <mergeCell ref="E2:E5"/>
    <mergeCell ref="F2:F5"/>
    <mergeCell ref="I2:L2"/>
    <mergeCell ref="A3:B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C0379-E917-4953-90E5-2A4F73CAD950}">
  <dimension ref="A1:L21"/>
  <sheetViews>
    <sheetView tabSelected="1" zoomScaleNormal="100" workbookViewId="0">
      <selection activeCell="F18" sqref="F18:F21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2" t="s">
        <v>14</v>
      </c>
      <c r="B1" s="2"/>
      <c r="C1" s="3" t="s">
        <v>3</v>
      </c>
      <c r="D1" s="3"/>
      <c r="E1" s="3"/>
      <c r="F1" s="3"/>
      <c r="H1" s="4" t="s">
        <v>15</v>
      </c>
      <c r="I1" s="4"/>
      <c r="J1" s="4"/>
      <c r="K1" s="4"/>
      <c r="L1" s="4"/>
    </row>
    <row r="2" spans="1:12" x14ac:dyDescent="0.25">
      <c r="A2" s="2"/>
      <c r="B2" s="2"/>
      <c r="C2" s="5" t="s">
        <v>2</v>
      </c>
      <c r="D2" s="5" t="s">
        <v>6</v>
      </c>
      <c r="E2" s="5" t="s">
        <v>4</v>
      </c>
      <c r="F2" s="5" t="s">
        <v>5</v>
      </c>
      <c r="H2" t="s">
        <v>7</v>
      </c>
      <c r="I2" s="6">
        <f>IF(F18=0,0,(SUM(C6,D10,E14)/F18))</f>
        <v>0.95652173913043481</v>
      </c>
      <c r="J2" s="6"/>
      <c r="K2" s="6"/>
      <c r="L2" s="6"/>
    </row>
    <row r="3" spans="1:12" x14ac:dyDescent="0.25">
      <c r="A3" s="7" t="s">
        <v>0</v>
      </c>
      <c r="B3" s="7"/>
      <c r="C3" s="5"/>
      <c r="D3" s="5"/>
      <c r="E3" s="5"/>
      <c r="F3" s="5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7"/>
      <c r="B4" s="7"/>
      <c r="C4" s="5"/>
      <c r="D4" s="5"/>
      <c r="E4" s="5"/>
      <c r="F4" s="5"/>
      <c r="H4" t="s">
        <v>2</v>
      </c>
      <c r="I4" s="1">
        <f>IF(SUM(C6:C17)=0,0,C6/SUM(C6:C17))</f>
        <v>1</v>
      </c>
      <c r="J4" s="1">
        <f>IF(SUM(C6:E9)=0,0,C6/SUM(C6:E9))</f>
        <v>0.33333333333333331</v>
      </c>
      <c r="K4" s="1">
        <f>IF(I4+J4=0,0,2*((I4*J4)/(I4+J4)))</f>
        <v>0.5</v>
      </c>
      <c r="L4">
        <f>F6</f>
        <v>3</v>
      </c>
    </row>
    <row r="5" spans="1:12" x14ac:dyDescent="0.25">
      <c r="A5" s="7"/>
      <c r="B5" s="7"/>
      <c r="C5" s="5"/>
      <c r="D5" s="5"/>
      <c r="E5" s="5"/>
      <c r="F5" s="5"/>
      <c r="H5" t="s">
        <v>6</v>
      </c>
      <c r="I5" s="1">
        <f>IF(SUM(D6:D17)=0,0,D10/SUM(D6:D17))</f>
        <v>0.95604395604395609</v>
      </c>
      <c r="J5" s="1">
        <f>IF(SUM(C10:E13)=0,0,D10/SUM(C10:E13))</f>
        <v>1</v>
      </c>
      <c r="K5" s="1">
        <f>IF(I5+J5=0,0,2*((I5*J5)/(I5+J5)))</f>
        <v>0.97752808988764039</v>
      </c>
      <c r="L5">
        <f>F10</f>
        <v>87</v>
      </c>
    </row>
    <row r="6" spans="1:12" x14ac:dyDescent="0.25">
      <c r="A6" s="8" t="s">
        <v>12</v>
      </c>
      <c r="B6" s="5" t="s">
        <v>2</v>
      </c>
      <c r="C6" s="7">
        <v>1</v>
      </c>
      <c r="D6" s="7">
        <f>1+1</f>
        <v>2</v>
      </c>
      <c r="E6" s="7">
        <v>0</v>
      </c>
      <c r="F6" s="3">
        <f>SUM(C6:E9)</f>
        <v>3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2</v>
      </c>
    </row>
    <row r="7" spans="1:12" x14ac:dyDescent="0.25">
      <c r="A7" s="8"/>
      <c r="B7" s="5"/>
      <c r="C7" s="7"/>
      <c r="D7" s="7"/>
      <c r="E7" s="7"/>
      <c r="F7" s="3"/>
      <c r="H7" t="s">
        <v>13</v>
      </c>
      <c r="I7" s="1">
        <f>IF(L7=0,0,(I4*L4+I5*L5+I6*L6)/L7)</f>
        <v>0.93669374104156711</v>
      </c>
      <c r="J7" s="1">
        <f>IF(L7=0,0,(J4*L4+J5*L5+J6*L6)/L7)</f>
        <v>0.95652173913043481</v>
      </c>
      <c r="K7" s="1">
        <f>IF(L7=0,0,(K4*L4+K5*L5+K6*L6)/L7)</f>
        <v>0.94070591108939905</v>
      </c>
      <c r="L7">
        <f>SUM(L4:L6)</f>
        <v>92</v>
      </c>
    </row>
    <row r="8" spans="1:12" x14ac:dyDescent="0.25">
      <c r="A8" s="8"/>
      <c r="B8" s="5"/>
      <c r="C8" s="7"/>
      <c r="D8" s="7"/>
      <c r="E8" s="7"/>
      <c r="F8" s="3"/>
    </row>
    <row r="9" spans="1:12" x14ac:dyDescent="0.25">
      <c r="A9" s="8"/>
      <c r="B9" s="5"/>
      <c r="C9" s="7"/>
      <c r="D9" s="7"/>
      <c r="E9" s="7"/>
      <c r="F9" s="3"/>
    </row>
    <row r="10" spans="1:12" x14ac:dyDescent="0.25">
      <c r="A10" s="8"/>
      <c r="B10" s="5" t="s">
        <v>6</v>
      </c>
      <c r="C10" s="7">
        <v>0</v>
      </c>
      <c r="D10" s="7">
        <f>13+25+49</f>
        <v>87</v>
      </c>
      <c r="E10" s="7">
        <v>0</v>
      </c>
      <c r="F10" s="3">
        <f>SUM(C10:E13)</f>
        <v>87</v>
      </c>
    </row>
    <row r="11" spans="1:12" x14ac:dyDescent="0.25">
      <c r="A11" s="8"/>
      <c r="B11" s="5"/>
      <c r="C11" s="7"/>
      <c r="D11" s="7"/>
      <c r="E11" s="7"/>
      <c r="F11" s="3"/>
    </row>
    <row r="12" spans="1:12" x14ac:dyDescent="0.25">
      <c r="A12" s="8"/>
      <c r="B12" s="5"/>
      <c r="C12" s="7"/>
      <c r="D12" s="7"/>
      <c r="E12" s="7"/>
      <c r="F12" s="3"/>
    </row>
    <row r="13" spans="1:12" x14ac:dyDescent="0.25">
      <c r="A13" s="8"/>
      <c r="B13" s="5"/>
      <c r="C13" s="7"/>
      <c r="D13" s="7"/>
      <c r="E13" s="7"/>
      <c r="F13" s="3"/>
    </row>
    <row r="14" spans="1:12" x14ac:dyDescent="0.25">
      <c r="A14" s="8"/>
      <c r="B14" s="5" t="s">
        <v>4</v>
      </c>
      <c r="C14" s="7">
        <v>0</v>
      </c>
      <c r="D14" s="7">
        <v>2</v>
      </c>
      <c r="E14" s="7">
        <v>0</v>
      </c>
      <c r="F14" s="3">
        <f>SUM(C14:E17)</f>
        <v>2</v>
      </c>
    </row>
    <row r="15" spans="1:12" x14ac:dyDescent="0.25">
      <c r="A15" s="8"/>
      <c r="B15" s="5"/>
      <c r="C15" s="7"/>
      <c r="D15" s="7"/>
      <c r="E15" s="7"/>
      <c r="F15" s="3"/>
    </row>
    <row r="16" spans="1:12" x14ac:dyDescent="0.25">
      <c r="A16" s="8"/>
      <c r="B16" s="5"/>
      <c r="C16" s="7"/>
      <c r="D16" s="7"/>
      <c r="E16" s="7"/>
      <c r="F16" s="3"/>
    </row>
    <row r="17" spans="1:6" x14ac:dyDescent="0.25">
      <c r="A17" s="8"/>
      <c r="B17" s="5"/>
      <c r="C17" s="7"/>
      <c r="D17" s="7"/>
      <c r="E17" s="7"/>
      <c r="F17" s="3"/>
    </row>
    <row r="18" spans="1:6" x14ac:dyDescent="0.25">
      <c r="A18" s="8"/>
      <c r="B18" s="5" t="s">
        <v>5</v>
      </c>
      <c r="C18" s="3">
        <f>SUM(C6:C17)</f>
        <v>1</v>
      </c>
      <c r="D18" s="3">
        <f>SUM(D6:D17)</f>
        <v>91</v>
      </c>
      <c r="E18" s="3">
        <f>SUM(E6:E17)</f>
        <v>0</v>
      </c>
      <c r="F18" s="3">
        <f>IF(SUM(C18:E21)=SUM(F6:F17),SUM(F6:F17),"Error")</f>
        <v>92</v>
      </c>
    </row>
    <row r="19" spans="1:6" x14ac:dyDescent="0.25">
      <c r="A19" s="8"/>
      <c r="B19" s="5"/>
      <c r="C19" s="3"/>
      <c r="D19" s="3"/>
      <c r="E19" s="3"/>
      <c r="F19" s="3"/>
    </row>
    <row r="20" spans="1:6" x14ac:dyDescent="0.25">
      <c r="A20" s="8"/>
      <c r="B20" s="5"/>
      <c r="C20" s="3"/>
      <c r="D20" s="3"/>
      <c r="E20" s="3"/>
      <c r="F20" s="3"/>
    </row>
    <row r="21" spans="1:6" x14ac:dyDescent="0.25">
      <c r="A21" s="8"/>
      <c r="B21" s="5"/>
      <c r="C21" s="3"/>
      <c r="D21" s="3"/>
      <c r="E21" s="3"/>
      <c r="F21" s="3"/>
    </row>
  </sheetData>
  <mergeCells count="30">
    <mergeCell ref="F14:F17"/>
    <mergeCell ref="B18:B21"/>
    <mergeCell ref="C18:C21"/>
    <mergeCell ref="D18:D21"/>
    <mergeCell ref="E18:E21"/>
    <mergeCell ref="F18:F21"/>
    <mergeCell ref="A6:A21"/>
    <mergeCell ref="B6:B9"/>
    <mergeCell ref="C6:C9"/>
    <mergeCell ref="D6:D9"/>
    <mergeCell ref="E6:E9"/>
    <mergeCell ref="B14:B17"/>
    <mergeCell ref="C14:C17"/>
    <mergeCell ref="D14:D17"/>
    <mergeCell ref="E14:E17"/>
    <mergeCell ref="F6:F9"/>
    <mergeCell ref="B10:B13"/>
    <mergeCell ref="C10:C13"/>
    <mergeCell ref="D10:D13"/>
    <mergeCell ref="E10:E13"/>
    <mergeCell ref="F10:F13"/>
    <mergeCell ref="A1:B2"/>
    <mergeCell ref="C1:F1"/>
    <mergeCell ref="H1:L1"/>
    <mergeCell ref="C2:C5"/>
    <mergeCell ref="D2:D5"/>
    <mergeCell ref="E2:E5"/>
    <mergeCell ref="F2:F5"/>
    <mergeCell ref="I2:L2"/>
    <mergeCell ref="A3:B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EE8D-FE0D-4E35-AF67-A29F4DC9912B}">
  <dimension ref="A1:L21"/>
  <sheetViews>
    <sheetView workbookViewId="0">
      <selection activeCell="D10" sqref="D10:D13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5" bestFit="1" customWidth="1"/>
  </cols>
  <sheetData>
    <row r="1" spans="1:12" x14ac:dyDescent="0.25">
      <c r="A1" s="2" t="s">
        <v>14</v>
      </c>
      <c r="B1" s="2"/>
      <c r="C1" s="3" t="s">
        <v>3</v>
      </c>
      <c r="D1" s="3"/>
      <c r="E1" s="3"/>
      <c r="F1" s="3"/>
      <c r="H1" s="4" t="s">
        <v>15</v>
      </c>
      <c r="I1" s="4"/>
      <c r="J1" s="4"/>
      <c r="K1" s="4"/>
      <c r="L1" s="4"/>
    </row>
    <row r="2" spans="1:12" x14ac:dyDescent="0.25">
      <c r="A2" s="2"/>
      <c r="B2" s="2"/>
      <c r="C2" s="5" t="s">
        <v>2</v>
      </c>
      <c r="D2" s="5" t="s">
        <v>6</v>
      </c>
      <c r="E2" s="5" t="s">
        <v>4</v>
      </c>
      <c r="F2" s="5" t="s">
        <v>5</v>
      </c>
      <c r="H2" t="s">
        <v>7</v>
      </c>
      <c r="I2" s="6">
        <f>IF(F18=0,0,(SUM(C6,D10,E14)/F18))</f>
        <v>0.98901098901098905</v>
      </c>
      <c r="J2" s="6"/>
      <c r="K2" s="6"/>
      <c r="L2" s="6"/>
    </row>
    <row r="3" spans="1:12" x14ac:dyDescent="0.25">
      <c r="A3" s="7" t="s">
        <v>0</v>
      </c>
      <c r="B3" s="7"/>
      <c r="C3" s="5"/>
      <c r="D3" s="5"/>
      <c r="E3" s="5"/>
      <c r="F3" s="5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7"/>
      <c r="B4" s="7"/>
      <c r="C4" s="5"/>
      <c r="D4" s="5"/>
      <c r="E4" s="5"/>
      <c r="F4" s="5"/>
      <c r="H4" t="s">
        <v>2</v>
      </c>
      <c r="I4" s="1">
        <f>IF(SUM(C6:C17)=0,0,C6/SUM(C6:C17))</f>
        <v>1</v>
      </c>
      <c r="J4" s="1">
        <f>IF(SUM(C6:E9)=0,0,C6/SUM(C6:E9))</f>
        <v>0.14285714285714285</v>
      </c>
      <c r="K4" s="1">
        <f>IF(I4+J4=0,0,2*((I4*J4)/(I4+J4)))</f>
        <v>0.25</v>
      </c>
      <c r="L4">
        <f>F6</f>
        <v>7</v>
      </c>
    </row>
    <row r="5" spans="1:12" x14ac:dyDescent="0.25">
      <c r="A5" s="7"/>
      <c r="B5" s="7"/>
      <c r="C5" s="5"/>
      <c r="D5" s="5"/>
      <c r="E5" s="5"/>
      <c r="F5" s="5"/>
      <c r="H5" t="s">
        <v>6</v>
      </c>
      <c r="I5" s="1">
        <f>IF(SUM(D6:D17)=0,0,D10/SUM(D6:D17))</f>
        <v>0.98900427611484421</v>
      </c>
      <c r="J5" s="1">
        <f>IF(SUM(C10:E13)=0,0,D10/SUM(C10:E13))</f>
        <v>1</v>
      </c>
      <c r="K5" s="1">
        <f>IF(I5+J5=0,0,2*((I5*J5)/(I5+J5)))</f>
        <v>0.99447174447174436</v>
      </c>
      <c r="L5">
        <f>F10</f>
        <v>1619</v>
      </c>
    </row>
    <row r="6" spans="1:12" x14ac:dyDescent="0.25">
      <c r="A6" s="8" t="s">
        <v>12</v>
      </c>
      <c r="B6" s="5" t="s">
        <v>2</v>
      </c>
      <c r="C6" s="7">
        <f>Tricycle!C6+Motorcycle!C6+Car!C6</f>
        <v>1</v>
      </c>
      <c r="D6" s="7">
        <f>Tricycle!D6+Motorcycle!D6+Car!D6</f>
        <v>6</v>
      </c>
      <c r="E6" s="7">
        <f>Tricycle!E6+Motorcycle!E6+Car!E6</f>
        <v>0</v>
      </c>
      <c r="F6" s="3">
        <f>SUM(C6:E9)</f>
        <v>7</v>
      </c>
      <c r="H6" t="s">
        <v>4</v>
      </c>
      <c r="I6" s="1">
        <f>IF(SUM(E6:E17)=0,0,E14/SUM(E6:E17))</f>
        <v>0</v>
      </c>
      <c r="J6" s="1">
        <f>IF(SUM(C14:E17)=0,0,E14/SUM(C14:E17))</f>
        <v>0</v>
      </c>
      <c r="K6" s="1">
        <f>IF(I6+J6=0,0,2*((I6*J6)/(I6+J6)))</f>
        <v>0</v>
      </c>
      <c r="L6">
        <f>F14</f>
        <v>12</v>
      </c>
    </row>
    <row r="7" spans="1:12" x14ac:dyDescent="0.25">
      <c r="A7" s="8"/>
      <c r="B7" s="5"/>
      <c r="C7" s="7"/>
      <c r="D7" s="7"/>
      <c r="E7" s="7"/>
      <c r="F7" s="3"/>
      <c r="H7" t="s">
        <v>13</v>
      </c>
      <c r="I7" s="1">
        <f>IF(L7=0,0,(I4*L4+I5*L5+I6*L6)/L7)</f>
        <v>0.98180581381558774</v>
      </c>
      <c r="J7" s="1">
        <f>IF(L7=0,0,(J4*L4+J5*L5+J6*L6)/L7)</f>
        <v>0.98901098901098905</v>
      </c>
      <c r="K7" s="1">
        <f>IF(L7=0,0,(K4*L4+K5*L5+K6*L6)/L7)</f>
        <v>0.98400473400473387</v>
      </c>
      <c r="L7">
        <f>SUM(L4:L6)</f>
        <v>1638</v>
      </c>
    </row>
    <row r="8" spans="1:12" x14ac:dyDescent="0.25">
      <c r="A8" s="8"/>
      <c r="B8" s="5"/>
      <c r="C8" s="7"/>
      <c r="D8" s="7"/>
      <c r="E8" s="7"/>
      <c r="F8" s="3"/>
    </row>
    <row r="9" spans="1:12" x14ac:dyDescent="0.25">
      <c r="A9" s="8"/>
      <c r="B9" s="5"/>
      <c r="C9" s="7"/>
      <c r="D9" s="7"/>
      <c r="E9" s="7"/>
      <c r="F9" s="3"/>
    </row>
    <row r="10" spans="1:12" x14ac:dyDescent="0.25">
      <c r="A10" s="8"/>
      <c r="B10" s="5" t="s">
        <v>6</v>
      </c>
      <c r="C10" s="7">
        <f>Tricycle!C10+Motorcycle!C10+Car!C10</f>
        <v>0</v>
      </c>
      <c r="D10" s="7">
        <f>Tricycle!D10+Motorcycle!D10+Car!D10</f>
        <v>1619</v>
      </c>
      <c r="E10" s="7">
        <f>Tricycle!E10+Motorcycle!E10+Car!E10</f>
        <v>0</v>
      </c>
      <c r="F10" s="3">
        <f>SUM(C10:E13)</f>
        <v>1619</v>
      </c>
    </row>
    <row r="11" spans="1:12" x14ac:dyDescent="0.25">
      <c r="A11" s="8"/>
      <c r="B11" s="5"/>
      <c r="C11" s="7"/>
      <c r="D11" s="7"/>
      <c r="E11" s="7"/>
      <c r="F11" s="3"/>
    </row>
    <row r="12" spans="1:12" x14ac:dyDescent="0.25">
      <c r="A12" s="8"/>
      <c r="B12" s="5"/>
      <c r="C12" s="7"/>
      <c r="D12" s="7"/>
      <c r="E12" s="7"/>
      <c r="F12" s="3"/>
    </row>
    <row r="13" spans="1:12" x14ac:dyDescent="0.25">
      <c r="A13" s="8"/>
      <c r="B13" s="5"/>
      <c r="C13" s="7"/>
      <c r="D13" s="7"/>
      <c r="E13" s="7"/>
      <c r="F13" s="3"/>
    </row>
    <row r="14" spans="1:12" x14ac:dyDescent="0.25">
      <c r="A14" s="8"/>
      <c r="B14" s="5" t="s">
        <v>4</v>
      </c>
      <c r="C14" s="7">
        <f>Tricycle!C14+Motorcycle!C14+Car!C14</f>
        <v>0</v>
      </c>
      <c r="D14" s="7">
        <f>Tricycle!D14+Motorcycle!D14+Car!D14</f>
        <v>12</v>
      </c>
      <c r="E14" s="7">
        <f>Tricycle!E14+Motorcycle!E14+Car!E14</f>
        <v>0</v>
      </c>
      <c r="F14" s="3">
        <f>SUM(C14:E17)</f>
        <v>12</v>
      </c>
    </row>
    <row r="15" spans="1:12" x14ac:dyDescent="0.25">
      <c r="A15" s="8"/>
      <c r="B15" s="5"/>
      <c r="C15" s="7"/>
      <c r="D15" s="7"/>
      <c r="E15" s="7"/>
      <c r="F15" s="3"/>
    </row>
    <row r="16" spans="1:12" x14ac:dyDescent="0.25">
      <c r="A16" s="8"/>
      <c r="B16" s="5"/>
      <c r="C16" s="7"/>
      <c r="D16" s="7"/>
      <c r="E16" s="7"/>
      <c r="F16" s="3"/>
    </row>
    <row r="17" spans="1:6" x14ac:dyDescent="0.25">
      <c r="A17" s="8"/>
      <c r="B17" s="5"/>
      <c r="C17" s="7"/>
      <c r="D17" s="7"/>
      <c r="E17" s="7"/>
      <c r="F17" s="3"/>
    </row>
    <row r="18" spans="1:6" x14ac:dyDescent="0.25">
      <c r="A18" s="8"/>
      <c r="B18" s="5" t="s">
        <v>5</v>
      </c>
      <c r="C18" s="3">
        <f>SUM(C6:C17)</f>
        <v>1</v>
      </c>
      <c r="D18" s="3">
        <f>SUM(D6:D17)</f>
        <v>1637</v>
      </c>
      <c r="E18" s="3">
        <f>SUM(E6:E17)</f>
        <v>0</v>
      </c>
      <c r="F18" s="3">
        <f>IF(SUM(C18:E21)=SUM(F6:F17),SUM(F6:F17),"Error")</f>
        <v>1638</v>
      </c>
    </row>
    <row r="19" spans="1:6" x14ac:dyDescent="0.25">
      <c r="A19" s="8"/>
      <c r="B19" s="5"/>
      <c r="C19" s="3"/>
      <c r="D19" s="3"/>
      <c r="E19" s="3"/>
      <c r="F19" s="3"/>
    </row>
    <row r="20" spans="1:6" x14ac:dyDescent="0.25">
      <c r="A20" s="8"/>
      <c r="B20" s="5"/>
      <c r="C20" s="3"/>
      <c r="D20" s="3"/>
      <c r="E20" s="3"/>
      <c r="F20" s="3"/>
    </row>
    <row r="21" spans="1:6" x14ac:dyDescent="0.25">
      <c r="A21" s="8"/>
      <c r="B21" s="5"/>
      <c r="C21" s="3"/>
      <c r="D21" s="3"/>
      <c r="E21" s="3"/>
      <c r="F21" s="3"/>
    </row>
  </sheetData>
  <mergeCells count="30">
    <mergeCell ref="A1:B2"/>
    <mergeCell ref="C1:F1"/>
    <mergeCell ref="H1:L1"/>
    <mergeCell ref="C2:C5"/>
    <mergeCell ref="D2:D5"/>
    <mergeCell ref="E2:E5"/>
    <mergeCell ref="F2:F5"/>
    <mergeCell ref="I2:L2"/>
    <mergeCell ref="A3:B5"/>
    <mergeCell ref="F6:F9"/>
    <mergeCell ref="B10:B13"/>
    <mergeCell ref="C10:C13"/>
    <mergeCell ref="D10:D13"/>
    <mergeCell ref="E10:E13"/>
    <mergeCell ref="A6:A21"/>
    <mergeCell ref="B6:B9"/>
    <mergeCell ref="C6:C9"/>
    <mergeCell ref="D6:D9"/>
    <mergeCell ref="E6:E9"/>
    <mergeCell ref="F10:F13"/>
    <mergeCell ref="B14:B17"/>
    <mergeCell ref="C14:C17"/>
    <mergeCell ref="D14:D17"/>
    <mergeCell ref="E14:E17"/>
    <mergeCell ref="F14:F17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Tricycle</vt:lpstr>
      <vt:lpstr>Motorcycle</vt:lpstr>
      <vt:lpstr>Car</vt:lpstr>
      <vt:lpstr>Overall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2026-04-19T14:54:54Z</dcterms:created>
  <dcterms:modified xsi:type="dcterms:W3CDTF">2026-04-23T08:33:17Z</dcterms:modified>
</cp:coreProperties>
</file>
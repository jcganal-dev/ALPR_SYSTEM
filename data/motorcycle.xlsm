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PR_RV2C\"/>
    </mc:Choice>
  </mc:AlternateContent>
  <xr:revisionPtr revIDLastSave="0" documentId="13_ncr:1_{C7447E19-6166-4F1A-ACC3-DA9C9B831FF6}" xr6:coauthVersionLast="47" xr6:coauthVersionMax="47" xr10:uidLastSave="{00000000-0000-0000-0000-000000000000}"/>
  <bookViews>
    <workbookView xWindow="-105" yWindow="0" windowWidth="7005" windowHeight="11625" firstSheet="1" activeTab="1" xr2:uid="{58F2EC7D-60B7-497E-945B-6A38B5A21958}"/>
  </bookViews>
  <sheets>
    <sheet name="Car" sheetId="1" r:id="rId1"/>
    <sheet name="Motorcycle" sheetId="4" r:id="rId2"/>
    <sheet name="Tricycle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5" l="1"/>
  <c r="I6" i="5"/>
  <c r="K6" i="5" s="1"/>
  <c r="J5" i="5"/>
  <c r="I5" i="5"/>
  <c r="J4" i="5"/>
  <c r="I4" i="5"/>
  <c r="J6" i="4"/>
  <c r="I6" i="4"/>
  <c r="J5" i="4"/>
  <c r="I5" i="4"/>
  <c r="J4" i="4"/>
  <c r="I4" i="4"/>
  <c r="J6" i="1"/>
  <c r="I6" i="1"/>
  <c r="K6" i="1" s="1"/>
  <c r="J5" i="1"/>
  <c r="I5" i="1"/>
  <c r="J4" i="1"/>
  <c r="I4" i="1"/>
  <c r="E18" i="5"/>
  <c r="D18" i="5"/>
  <c r="C18" i="5"/>
  <c r="F14" i="5"/>
  <c r="L6" i="5" s="1"/>
  <c r="F10" i="5"/>
  <c r="L5" i="5" s="1"/>
  <c r="F6" i="5"/>
  <c r="L4" i="5" s="1"/>
  <c r="E18" i="4"/>
  <c r="D18" i="4"/>
  <c r="C18" i="4"/>
  <c r="F14" i="4"/>
  <c r="L6" i="4" s="1"/>
  <c r="F10" i="4"/>
  <c r="L5" i="4" s="1"/>
  <c r="F6" i="4"/>
  <c r="L4" i="4" s="1"/>
  <c r="F6" i="1"/>
  <c r="C18" i="1"/>
  <c r="D18" i="1"/>
  <c r="E18" i="1"/>
  <c r="F14" i="1"/>
  <c r="F10" i="1"/>
  <c r="K5" i="4" l="1"/>
  <c r="K4" i="5"/>
  <c r="K5" i="5"/>
  <c r="L7" i="5"/>
  <c r="K7" i="5" s="1"/>
  <c r="K4" i="1"/>
  <c r="L7" i="4"/>
  <c r="K6" i="4"/>
  <c r="K4" i="4"/>
  <c r="J7" i="5"/>
  <c r="I7" i="5"/>
  <c r="J7" i="4"/>
  <c r="I7" i="4"/>
  <c r="L6" i="1"/>
  <c r="K5" i="1"/>
  <c r="L5" i="1"/>
  <c r="L4" i="1"/>
  <c r="F18" i="4"/>
  <c r="I2" i="4" s="1"/>
  <c r="F18" i="5"/>
  <c r="I2" i="5" s="1"/>
  <c r="F18" i="1"/>
  <c r="K7" i="4" l="1"/>
  <c r="L7" i="1"/>
  <c r="I7" i="1" s="1"/>
  <c r="I2" i="1"/>
  <c r="K7" i="1" l="1"/>
  <c r="J7" i="1"/>
</calcChain>
</file>

<file path=xl/sharedStrings.xml><?xml version="1.0" encoding="utf-8"?>
<sst xmlns="http://schemas.openxmlformats.org/spreadsheetml/2006/main" count="66" uniqueCount="19">
  <si>
    <t>Car</t>
  </si>
  <si>
    <t>Tricycle</t>
  </si>
  <si>
    <t>Registered</t>
  </si>
  <si>
    <t>Predicted</t>
  </si>
  <si>
    <t>Unidentifiable</t>
  </si>
  <si>
    <t>TOTAL</t>
  </si>
  <si>
    <t>Not Registered</t>
  </si>
  <si>
    <t>Accuracy</t>
  </si>
  <si>
    <t>Precision</t>
  </si>
  <si>
    <t>Recall</t>
  </si>
  <si>
    <t>F1-Score</t>
  </si>
  <si>
    <t>TC</t>
  </si>
  <si>
    <t>True Values</t>
  </si>
  <si>
    <t>Weigthed Average</t>
  </si>
  <si>
    <t>Class</t>
  </si>
  <si>
    <t>Car Statistics</t>
  </si>
  <si>
    <t>Tricycle Statistics</t>
  </si>
  <si>
    <t>Motorycle</t>
  </si>
  <si>
    <t>Motorycle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</si>
</sst>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textRotation="45"/>
    </xf>
    <xf numFmtId="10" fontId="0" fillId="0" borderId="0" xfId="0" applyNumberFormat="1"/>
    <xf numFmtId="0" fontId="0" fillId="0" borderId="0" xfId="0" applyAlignment="1">
      <alignment vertical="center" textRotation="90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textRotation="45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" name="Rectangle 1">
          <a:extLst>
            <a:ext uri="{FF2B5EF4-FFF2-40B4-BE49-F238E27FC236}">
              <a16:creationId xmlns:a16="http://schemas.microsoft.com/office/drawing/2014/main" id="{D23A93C6-8D38-011D-A576-D9DC172E532E}"/>
            </a:ext>
          </a:extLst>
        </xdr:cNvPr>
        <xdr:cNvSpPr/>
      </xdr:nvSpPr>
      <xdr:spPr>
        <a:xfrm>
          <a:off x="1656521" y="985631"/>
          <a:ext cx="828261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7" name="Rectangle 6">
          <a:extLst>
            <a:ext uri="{FF2B5EF4-FFF2-40B4-BE49-F238E27FC236}">
              <a16:creationId xmlns:a16="http://schemas.microsoft.com/office/drawing/2014/main" id="{E4254894-4E7D-4801-B0B3-7A14C0569544}"/>
            </a:ext>
          </a:extLst>
        </xdr:cNvPr>
        <xdr:cNvSpPr/>
      </xdr:nvSpPr>
      <xdr:spPr>
        <a:xfrm>
          <a:off x="3313043" y="952499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8" name="Rectangle 7">
          <a:extLst>
            <a:ext uri="{FF2B5EF4-FFF2-40B4-BE49-F238E27FC236}">
              <a16:creationId xmlns:a16="http://schemas.microsoft.com/office/drawing/2014/main" id="{E24BDA3E-619D-494D-ACFA-1D7325EC6A03}"/>
            </a:ext>
          </a:extLst>
        </xdr:cNvPr>
        <xdr:cNvSpPr/>
      </xdr:nvSpPr>
      <xdr:spPr>
        <a:xfrm>
          <a:off x="3312087" y="1444039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17" name="Rectangle 16">
          <a:extLst>
            <a:ext uri="{FF2B5EF4-FFF2-40B4-BE49-F238E27FC236}">
              <a16:creationId xmlns:a16="http://schemas.microsoft.com/office/drawing/2014/main" id="{0C3BE812-5E98-443D-8CBA-424F26498193}"/>
            </a:ext>
          </a:extLst>
        </xdr:cNvPr>
        <xdr:cNvSpPr/>
      </xdr:nvSpPr>
      <xdr:spPr>
        <a:xfrm>
          <a:off x="1656522" y="952500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18" name="Rectangle 17">
          <a:extLst>
            <a:ext uri="{FF2B5EF4-FFF2-40B4-BE49-F238E27FC236}">
              <a16:creationId xmlns:a16="http://schemas.microsoft.com/office/drawing/2014/main" id="{943E20BE-E871-4E9B-980B-8EC1FBEDC98A}"/>
            </a:ext>
          </a:extLst>
        </xdr:cNvPr>
        <xdr:cNvSpPr/>
      </xdr:nvSpPr>
      <xdr:spPr>
        <a:xfrm>
          <a:off x="1655885" y="1444040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21" name="Rectangle 20">
          <a:extLst>
            <a:ext uri="{FF2B5EF4-FFF2-40B4-BE49-F238E27FC236}">
              <a16:creationId xmlns:a16="http://schemas.microsoft.com/office/drawing/2014/main" id="{2C916033-9635-4C90-A68E-A805CEC55FA6}"/>
            </a:ext>
          </a:extLst>
        </xdr:cNvPr>
        <xdr:cNvSpPr/>
      </xdr:nvSpPr>
      <xdr:spPr>
        <a:xfrm>
          <a:off x="2484782" y="960787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22" name="Rectangle 21">
          <a:extLst>
            <a:ext uri="{FF2B5EF4-FFF2-40B4-BE49-F238E27FC236}">
              <a16:creationId xmlns:a16="http://schemas.microsoft.com/office/drawing/2014/main" id="{33B7876B-F5FB-44E2-A768-AA12A93D899A}"/>
            </a:ext>
          </a:extLst>
        </xdr:cNvPr>
        <xdr:cNvSpPr/>
      </xdr:nvSpPr>
      <xdr:spPr>
        <a:xfrm>
          <a:off x="2484145" y="1452327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23" name="Rectangle 22">
          <a:extLst>
            <a:ext uri="{FF2B5EF4-FFF2-40B4-BE49-F238E27FC236}">
              <a16:creationId xmlns:a16="http://schemas.microsoft.com/office/drawing/2014/main" id="{63B85C8B-FAE5-4621-8A04-CB01BC76FC81}"/>
            </a:ext>
          </a:extLst>
        </xdr:cNvPr>
        <xdr:cNvSpPr/>
      </xdr:nvSpPr>
      <xdr:spPr>
        <a:xfrm>
          <a:off x="1656522" y="1722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24" name="Rectangle 23">
          <a:extLst>
            <a:ext uri="{FF2B5EF4-FFF2-40B4-BE49-F238E27FC236}">
              <a16:creationId xmlns:a16="http://schemas.microsoft.com/office/drawing/2014/main" id="{D28F2D21-6D11-4439-BC12-D7BA67F3753D}"/>
            </a:ext>
          </a:extLst>
        </xdr:cNvPr>
        <xdr:cNvSpPr/>
      </xdr:nvSpPr>
      <xdr:spPr>
        <a:xfrm>
          <a:off x="1655885" y="2214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25" name="Rectangle 24">
          <a:extLst>
            <a:ext uri="{FF2B5EF4-FFF2-40B4-BE49-F238E27FC236}">
              <a16:creationId xmlns:a16="http://schemas.microsoft.com/office/drawing/2014/main" id="{422E8908-94CF-4A9A-97F2-622349CF9631}"/>
            </a:ext>
          </a:extLst>
        </xdr:cNvPr>
        <xdr:cNvSpPr/>
      </xdr:nvSpPr>
      <xdr:spPr>
        <a:xfrm>
          <a:off x="2476500" y="1722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26" name="Rectangle 25">
          <a:extLst>
            <a:ext uri="{FF2B5EF4-FFF2-40B4-BE49-F238E27FC236}">
              <a16:creationId xmlns:a16="http://schemas.microsoft.com/office/drawing/2014/main" id="{B1C3AB35-1872-4AA8-9C37-29E9E3B5936A}"/>
            </a:ext>
          </a:extLst>
        </xdr:cNvPr>
        <xdr:cNvSpPr/>
      </xdr:nvSpPr>
      <xdr:spPr>
        <a:xfrm>
          <a:off x="2475863" y="2214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27" name="Rectangle 26">
          <a:extLst>
            <a:ext uri="{FF2B5EF4-FFF2-40B4-BE49-F238E27FC236}">
              <a16:creationId xmlns:a16="http://schemas.microsoft.com/office/drawing/2014/main" id="{FE816732-88DA-40B3-B14E-C8FDBC4DC05F}"/>
            </a:ext>
          </a:extLst>
        </xdr:cNvPr>
        <xdr:cNvSpPr/>
      </xdr:nvSpPr>
      <xdr:spPr>
        <a:xfrm>
          <a:off x="3313043" y="1722784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28" name="Rectangle 27">
          <a:extLst>
            <a:ext uri="{FF2B5EF4-FFF2-40B4-BE49-F238E27FC236}">
              <a16:creationId xmlns:a16="http://schemas.microsoft.com/office/drawing/2014/main" id="{BEC80054-4951-4B89-933D-18E055029497}"/>
            </a:ext>
          </a:extLst>
        </xdr:cNvPr>
        <xdr:cNvSpPr/>
      </xdr:nvSpPr>
      <xdr:spPr>
        <a:xfrm>
          <a:off x="3312087" y="2214324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29" name="Rectangle 28">
          <a:extLst>
            <a:ext uri="{FF2B5EF4-FFF2-40B4-BE49-F238E27FC236}">
              <a16:creationId xmlns:a16="http://schemas.microsoft.com/office/drawing/2014/main" id="{3448ADB6-9EA1-415B-AC89-BF9D92DF9364}"/>
            </a:ext>
          </a:extLst>
        </xdr:cNvPr>
        <xdr:cNvSpPr/>
      </xdr:nvSpPr>
      <xdr:spPr>
        <a:xfrm>
          <a:off x="1656522" y="2484782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30" name="Rectangle 29">
          <a:extLst>
            <a:ext uri="{FF2B5EF4-FFF2-40B4-BE49-F238E27FC236}">
              <a16:creationId xmlns:a16="http://schemas.microsoft.com/office/drawing/2014/main" id="{6294BCD4-BC6E-4FDD-8320-6F8C7BA0E405}"/>
            </a:ext>
          </a:extLst>
        </xdr:cNvPr>
        <xdr:cNvSpPr/>
      </xdr:nvSpPr>
      <xdr:spPr>
        <a:xfrm>
          <a:off x="1655885" y="2976322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31" name="Rectangle 30">
          <a:extLst>
            <a:ext uri="{FF2B5EF4-FFF2-40B4-BE49-F238E27FC236}">
              <a16:creationId xmlns:a16="http://schemas.microsoft.com/office/drawing/2014/main" id="{47C5387B-B7AD-44A1-BB8D-A7A251E91205}"/>
            </a:ext>
          </a:extLst>
        </xdr:cNvPr>
        <xdr:cNvSpPr/>
      </xdr:nvSpPr>
      <xdr:spPr>
        <a:xfrm>
          <a:off x="2484782" y="2484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32" name="Rectangle 31">
          <a:extLst>
            <a:ext uri="{FF2B5EF4-FFF2-40B4-BE49-F238E27FC236}">
              <a16:creationId xmlns:a16="http://schemas.microsoft.com/office/drawing/2014/main" id="{074CDB4E-CCC0-4821-AEF6-5A9981E99817}"/>
            </a:ext>
          </a:extLst>
        </xdr:cNvPr>
        <xdr:cNvSpPr/>
      </xdr:nvSpPr>
      <xdr:spPr>
        <a:xfrm>
          <a:off x="2484145" y="2976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33" name="Rectangle 32">
          <a:extLst>
            <a:ext uri="{FF2B5EF4-FFF2-40B4-BE49-F238E27FC236}">
              <a16:creationId xmlns:a16="http://schemas.microsoft.com/office/drawing/2014/main" id="{F13DF2C2-B685-4490-B2A9-6FA834CD29ED}"/>
            </a:ext>
          </a:extLst>
        </xdr:cNvPr>
        <xdr:cNvSpPr/>
      </xdr:nvSpPr>
      <xdr:spPr>
        <a:xfrm>
          <a:off x="3313043" y="2484788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34" name="Rectangle 33">
          <a:extLst>
            <a:ext uri="{FF2B5EF4-FFF2-40B4-BE49-F238E27FC236}">
              <a16:creationId xmlns:a16="http://schemas.microsoft.com/office/drawing/2014/main" id="{E034F4C9-CEEA-438F-9087-28D40E9B6ECD}"/>
            </a:ext>
          </a:extLst>
        </xdr:cNvPr>
        <xdr:cNvSpPr/>
      </xdr:nvSpPr>
      <xdr:spPr>
        <a:xfrm>
          <a:off x="3312087" y="2976328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40" name="Rectangle 39">
          <a:extLst>
            <a:ext uri="{FF2B5EF4-FFF2-40B4-BE49-F238E27FC236}">
              <a16:creationId xmlns:a16="http://schemas.microsoft.com/office/drawing/2014/main" id="{D78A2584-4A6A-4F74-9BC9-48E08865C51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41" name="Rectangle 40">
          <a:extLst>
            <a:ext uri="{FF2B5EF4-FFF2-40B4-BE49-F238E27FC236}">
              <a16:creationId xmlns:a16="http://schemas.microsoft.com/office/drawing/2014/main" id="{49DC2EF0-650B-4AF9-84F5-1BE96D970243}"/>
            </a:ext>
          </a:extLst>
        </xdr:cNvPr>
        <xdr:cNvSpPr/>
      </xdr:nvSpPr>
      <xdr:spPr>
        <a:xfrm>
          <a:off x="3314285" y="952499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42" name="Rectangle 41">
          <a:extLst>
            <a:ext uri="{FF2B5EF4-FFF2-40B4-BE49-F238E27FC236}">
              <a16:creationId xmlns:a16="http://schemas.microsoft.com/office/drawing/2014/main" id="{13E56817-CF16-4B1C-B9AA-CB1C7F32AF49}"/>
            </a:ext>
          </a:extLst>
        </xdr:cNvPr>
        <xdr:cNvSpPr/>
      </xdr:nvSpPr>
      <xdr:spPr>
        <a:xfrm>
          <a:off x="3315018" y="1444039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43" name="Rectangle 42">
          <a:extLst>
            <a:ext uri="{FF2B5EF4-FFF2-40B4-BE49-F238E27FC236}">
              <a16:creationId xmlns:a16="http://schemas.microsoft.com/office/drawing/2014/main" id="{AFF8F771-8F06-42FA-B184-A349E0FE1E96}"/>
            </a:ext>
          </a:extLst>
        </xdr:cNvPr>
        <xdr:cNvSpPr/>
      </xdr:nvSpPr>
      <xdr:spPr>
        <a:xfrm>
          <a:off x="1657350" y="952500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44" name="Rectangle 43">
          <a:extLst>
            <a:ext uri="{FF2B5EF4-FFF2-40B4-BE49-F238E27FC236}">
              <a16:creationId xmlns:a16="http://schemas.microsoft.com/office/drawing/2014/main" id="{4400A341-D6C0-4CC1-83CE-AC91F9D2CCBC}"/>
            </a:ext>
          </a:extLst>
        </xdr:cNvPr>
        <xdr:cNvSpPr/>
      </xdr:nvSpPr>
      <xdr:spPr>
        <a:xfrm>
          <a:off x="1657350" y="1444040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45" name="Rectangle 44">
          <a:extLst>
            <a:ext uri="{FF2B5EF4-FFF2-40B4-BE49-F238E27FC236}">
              <a16:creationId xmlns:a16="http://schemas.microsoft.com/office/drawing/2014/main" id="{A9AA2137-662A-41B6-9823-2BECD9CCF630}"/>
            </a:ext>
          </a:extLst>
        </xdr:cNvPr>
        <xdr:cNvSpPr/>
      </xdr:nvSpPr>
      <xdr:spPr>
        <a:xfrm>
          <a:off x="2485610" y="960787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46" name="Rectangle 45">
          <a:extLst>
            <a:ext uri="{FF2B5EF4-FFF2-40B4-BE49-F238E27FC236}">
              <a16:creationId xmlns:a16="http://schemas.microsoft.com/office/drawing/2014/main" id="{308C8B32-CC48-4863-B88C-BE1B79D7086B}"/>
            </a:ext>
          </a:extLst>
        </xdr:cNvPr>
        <xdr:cNvSpPr/>
      </xdr:nvSpPr>
      <xdr:spPr>
        <a:xfrm>
          <a:off x="2486343" y="1452327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47" name="Rectangle 46">
          <a:extLst>
            <a:ext uri="{FF2B5EF4-FFF2-40B4-BE49-F238E27FC236}">
              <a16:creationId xmlns:a16="http://schemas.microsoft.com/office/drawing/2014/main" id="{5DA96009-42C6-4CEB-A074-52EDDF286F56}"/>
            </a:ext>
          </a:extLst>
        </xdr:cNvPr>
        <xdr:cNvSpPr/>
      </xdr:nvSpPr>
      <xdr:spPr>
        <a:xfrm>
          <a:off x="1657350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48" name="Rectangle 47">
          <a:extLst>
            <a:ext uri="{FF2B5EF4-FFF2-40B4-BE49-F238E27FC236}">
              <a16:creationId xmlns:a16="http://schemas.microsoft.com/office/drawing/2014/main" id="{6947E43A-F82B-4E6D-9B73-D6BA2E10CAA2}"/>
            </a:ext>
          </a:extLst>
        </xdr:cNvPr>
        <xdr:cNvSpPr/>
      </xdr:nvSpPr>
      <xdr:spPr>
        <a:xfrm>
          <a:off x="1657350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49" name="Rectangle 48">
          <a:extLst>
            <a:ext uri="{FF2B5EF4-FFF2-40B4-BE49-F238E27FC236}">
              <a16:creationId xmlns:a16="http://schemas.microsoft.com/office/drawing/2014/main" id="{31815FDB-1402-450A-9F1F-A18D3A0ACCBD}"/>
            </a:ext>
          </a:extLst>
        </xdr:cNvPr>
        <xdr:cNvSpPr/>
      </xdr:nvSpPr>
      <xdr:spPr>
        <a:xfrm>
          <a:off x="2477328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50" name="Rectangle 49">
          <a:extLst>
            <a:ext uri="{FF2B5EF4-FFF2-40B4-BE49-F238E27FC236}">
              <a16:creationId xmlns:a16="http://schemas.microsoft.com/office/drawing/2014/main" id="{A8CBCF37-AAF5-4F57-AF09-0600F129EB4D}"/>
            </a:ext>
          </a:extLst>
        </xdr:cNvPr>
        <xdr:cNvSpPr/>
      </xdr:nvSpPr>
      <xdr:spPr>
        <a:xfrm>
          <a:off x="2477328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51" name="Rectangle 50">
          <a:extLst>
            <a:ext uri="{FF2B5EF4-FFF2-40B4-BE49-F238E27FC236}">
              <a16:creationId xmlns:a16="http://schemas.microsoft.com/office/drawing/2014/main" id="{5DC5C96B-A4CB-4CE4-A80A-75A3785D1293}"/>
            </a:ext>
          </a:extLst>
        </xdr:cNvPr>
        <xdr:cNvSpPr/>
      </xdr:nvSpPr>
      <xdr:spPr>
        <a:xfrm>
          <a:off x="3314285" y="1722784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52" name="Rectangle 51">
          <a:extLst>
            <a:ext uri="{FF2B5EF4-FFF2-40B4-BE49-F238E27FC236}">
              <a16:creationId xmlns:a16="http://schemas.microsoft.com/office/drawing/2014/main" id="{1434BE86-7590-4DD7-A209-F1DA808576DD}"/>
            </a:ext>
          </a:extLst>
        </xdr:cNvPr>
        <xdr:cNvSpPr/>
      </xdr:nvSpPr>
      <xdr:spPr>
        <a:xfrm>
          <a:off x="3315018" y="2214324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53" name="Rectangle 52">
          <a:extLst>
            <a:ext uri="{FF2B5EF4-FFF2-40B4-BE49-F238E27FC236}">
              <a16:creationId xmlns:a16="http://schemas.microsoft.com/office/drawing/2014/main" id="{734DF1F2-4967-4DA2-91CF-9D22CBE0C582}"/>
            </a:ext>
          </a:extLst>
        </xdr:cNvPr>
        <xdr:cNvSpPr/>
      </xdr:nvSpPr>
      <xdr:spPr>
        <a:xfrm>
          <a:off x="1657350" y="2484782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54" name="Rectangle 53">
          <a:extLst>
            <a:ext uri="{FF2B5EF4-FFF2-40B4-BE49-F238E27FC236}">
              <a16:creationId xmlns:a16="http://schemas.microsoft.com/office/drawing/2014/main" id="{526788D8-1270-4FAA-AE47-058F1349F8F2}"/>
            </a:ext>
          </a:extLst>
        </xdr:cNvPr>
        <xdr:cNvSpPr/>
      </xdr:nvSpPr>
      <xdr:spPr>
        <a:xfrm>
          <a:off x="1657350" y="2976322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55" name="Rectangle 54">
          <a:extLst>
            <a:ext uri="{FF2B5EF4-FFF2-40B4-BE49-F238E27FC236}">
              <a16:creationId xmlns:a16="http://schemas.microsoft.com/office/drawing/2014/main" id="{DB7BEC1B-7705-4960-86B0-49C8AEEB3648}"/>
            </a:ext>
          </a:extLst>
        </xdr:cNvPr>
        <xdr:cNvSpPr/>
      </xdr:nvSpPr>
      <xdr:spPr>
        <a:xfrm>
          <a:off x="2485610" y="2484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56" name="Rectangle 55">
          <a:extLst>
            <a:ext uri="{FF2B5EF4-FFF2-40B4-BE49-F238E27FC236}">
              <a16:creationId xmlns:a16="http://schemas.microsoft.com/office/drawing/2014/main" id="{8E91A6AA-ECB2-4239-A494-5D280AED6CD9}"/>
            </a:ext>
          </a:extLst>
        </xdr:cNvPr>
        <xdr:cNvSpPr/>
      </xdr:nvSpPr>
      <xdr:spPr>
        <a:xfrm>
          <a:off x="2486343" y="2976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57" name="Rectangle 56">
          <a:extLst>
            <a:ext uri="{FF2B5EF4-FFF2-40B4-BE49-F238E27FC236}">
              <a16:creationId xmlns:a16="http://schemas.microsoft.com/office/drawing/2014/main" id="{00D13F44-ED54-4E6A-8A08-A4D9AD5173BF}"/>
            </a:ext>
          </a:extLst>
        </xdr:cNvPr>
        <xdr:cNvSpPr/>
      </xdr:nvSpPr>
      <xdr:spPr>
        <a:xfrm>
          <a:off x="3314285" y="2484788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58" name="Rectangle 57">
          <a:extLst>
            <a:ext uri="{FF2B5EF4-FFF2-40B4-BE49-F238E27FC236}">
              <a16:creationId xmlns:a16="http://schemas.microsoft.com/office/drawing/2014/main" id="{3E813090-3A4D-4D04-ABA8-B888363BC1FF}"/>
            </a:ext>
          </a:extLst>
        </xdr:cNvPr>
        <xdr:cNvSpPr/>
      </xdr:nvSpPr>
      <xdr:spPr>
        <a:xfrm>
          <a:off x="3315018" y="2976328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1" name="Rectangle 20">
          <a:extLst>
            <a:ext uri="{FF2B5EF4-FFF2-40B4-BE49-F238E27FC236}">
              <a16:creationId xmlns:a16="http://schemas.microsoft.com/office/drawing/2014/main" id="{ADF0F481-84F2-4B47-9D6E-7E5FB9DCFB2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22" name="Rectangle 21">
          <a:extLst>
            <a:ext uri="{FF2B5EF4-FFF2-40B4-BE49-F238E27FC236}">
              <a16:creationId xmlns:a16="http://schemas.microsoft.com/office/drawing/2014/main" id="{E1753C55-1155-4501-9020-3AA7510ACB46}"/>
            </a:ext>
          </a:extLst>
        </xdr:cNvPr>
        <xdr:cNvSpPr/>
      </xdr:nvSpPr>
      <xdr:spPr>
        <a:xfrm>
          <a:off x="3314285" y="952499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23" name="Rectangle 22">
          <a:extLst>
            <a:ext uri="{FF2B5EF4-FFF2-40B4-BE49-F238E27FC236}">
              <a16:creationId xmlns:a16="http://schemas.microsoft.com/office/drawing/2014/main" id="{393022AF-72F1-4232-8149-90523C20022E}"/>
            </a:ext>
          </a:extLst>
        </xdr:cNvPr>
        <xdr:cNvSpPr/>
      </xdr:nvSpPr>
      <xdr:spPr>
        <a:xfrm>
          <a:off x="3315018" y="1444039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24" name="Rectangle 23">
          <a:extLst>
            <a:ext uri="{FF2B5EF4-FFF2-40B4-BE49-F238E27FC236}">
              <a16:creationId xmlns:a16="http://schemas.microsoft.com/office/drawing/2014/main" id="{BD2E3DD3-131D-42F7-8138-016122BAF792}"/>
            </a:ext>
          </a:extLst>
        </xdr:cNvPr>
        <xdr:cNvSpPr/>
      </xdr:nvSpPr>
      <xdr:spPr>
        <a:xfrm>
          <a:off x="1657350" y="952500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25" name="Rectangle 24">
          <a:extLst>
            <a:ext uri="{FF2B5EF4-FFF2-40B4-BE49-F238E27FC236}">
              <a16:creationId xmlns:a16="http://schemas.microsoft.com/office/drawing/2014/main" id="{BB4E8BC1-F09C-4B9B-A6C2-32FF5ABA945B}"/>
            </a:ext>
          </a:extLst>
        </xdr:cNvPr>
        <xdr:cNvSpPr/>
      </xdr:nvSpPr>
      <xdr:spPr>
        <a:xfrm>
          <a:off x="1657350" y="1444040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26" name="Rectangle 25">
          <a:extLst>
            <a:ext uri="{FF2B5EF4-FFF2-40B4-BE49-F238E27FC236}">
              <a16:creationId xmlns:a16="http://schemas.microsoft.com/office/drawing/2014/main" id="{26D5BB03-5516-4101-8DCE-026B071E4D09}"/>
            </a:ext>
          </a:extLst>
        </xdr:cNvPr>
        <xdr:cNvSpPr/>
      </xdr:nvSpPr>
      <xdr:spPr>
        <a:xfrm>
          <a:off x="2485610" y="960787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27" name="Rectangle 26">
          <a:extLst>
            <a:ext uri="{FF2B5EF4-FFF2-40B4-BE49-F238E27FC236}">
              <a16:creationId xmlns:a16="http://schemas.microsoft.com/office/drawing/2014/main" id="{2AC2EE42-98F3-450B-B5B5-1BAF5859AC8F}"/>
            </a:ext>
          </a:extLst>
        </xdr:cNvPr>
        <xdr:cNvSpPr/>
      </xdr:nvSpPr>
      <xdr:spPr>
        <a:xfrm>
          <a:off x="2486343" y="1452327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28" name="Rectangle 27">
          <a:extLst>
            <a:ext uri="{FF2B5EF4-FFF2-40B4-BE49-F238E27FC236}">
              <a16:creationId xmlns:a16="http://schemas.microsoft.com/office/drawing/2014/main" id="{E100A10D-70CD-4148-A88B-D83209770C8F}"/>
            </a:ext>
          </a:extLst>
        </xdr:cNvPr>
        <xdr:cNvSpPr/>
      </xdr:nvSpPr>
      <xdr:spPr>
        <a:xfrm>
          <a:off x="1657350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29" name="Rectangle 28">
          <a:extLst>
            <a:ext uri="{FF2B5EF4-FFF2-40B4-BE49-F238E27FC236}">
              <a16:creationId xmlns:a16="http://schemas.microsoft.com/office/drawing/2014/main" id="{7CC543DB-503B-49AE-87B9-E42B125F5132}"/>
            </a:ext>
          </a:extLst>
        </xdr:cNvPr>
        <xdr:cNvSpPr/>
      </xdr:nvSpPr>
      <xdr:spPr>
        <a:xfrm>
          <a:off x="1657350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30" name="Rectangle 29">
          <a:extLst>
            <a:ext uri="{FF2B5EF4-FFF2-40B4-BE49-F238E27FC236}">
              <a16:creationId xmlns:a16="http://schemas.microsoft.com/office/drawing/2014/main" id="{D485D08B-4D04-4AD6-B2D4-5D5BB7AD7EA6}"/>
            </a:ext>
          </a:extLst>
        </xdr:cNvPr>
        <xdr:cNvSpPr/>
      </xdr:nvSpPr>
      <xdr:spPr>
        <a:xfrm>
          <a:off x="2477328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31" name="Rectangle 30">
          <a:extLst>
            <a:ext uri="{FF2B5EF4-FFF2-40B4-BE49-F238E27FC236}">
              <a16:creationId xmlns:a16="http://schemas.microsoft.com/office/drawing/2014/main" id="{9D05C6BC-DBD3-426C-AFF5-838E49AC145C}"/>
            </a:ext>
          </a:extLst>
        </xdr:cNvPr>
        <xdr:cNvSpPr/>
      </xdr:nvSpPr>
      <xdr:spPr>
        <a:xfrm>
          <a:off x="2477328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32" name="Rectangle 31">
          <a:extLst>
            <a:ext uri="{FF2B5EF4-FFF2-40B4-BE49-F238E27FC236}">
              <a16:creationId xmlns:a16="http://schemas.microsoft.com/office/drawing/2014/main" id="{95AC3888-93CB-41B2-ACF0-1CF2A417F6F5}"/>
            </a:ext>
          </a:extLst>
        </xdr:cNvPr>
        <xdr:cNvSpPr/>
      </xdr:nvSpPr>
      <xdr:spPr>
        <a:xfrm>
          <a:off x="3314285" y="1722784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33" name="Rectangle 32">
          <a:extLst>
            <a:ext uri="{FF2B5EF4-FFF2-40B4-BE49-F238E27FC236}">
              <a16:creationId xmlns:a16="http://schemas.microsoft.com/office/drawing/2014/main" id="{F4ACC2F3-4515-479C-803D-F0BD58F44F55}"/>
            </a:ext>
          </a:extLst>
        </xdr:cNvPr>
        <xdr:cNvSpPr/>
      </xdr:nvSpPr>
      <xdr:spPr>
        <a:xfrm>
          <a:off x="3315018" y="2214324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34" name="Rectangle 33">
          <a:extLst>
            <a:ext uri="{FF2B5EF4-FFF2-40B4-BE49-F238E27FC236}">
              <a16:creationId xmlns:a16="http://schemas.microsoft.com/office/drawing/2014/main" id="{4536E3F5-1AAB-4819-9C78-0A8764CCCCA1}"/>
            </a:ext>
          </a:extLst>
        </xdr:cNvPr>
        <xdr:cNvSpPr/>
      </xdr:nvSpPr>
      <xdr:spPr>
        <a:xfrm>
          <a:off x="1657350" y="2484782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35" name="Rectangle 34">
          <a:extLst>
            <a:ext uri="{FF2B5EF4-FFF2-40B4-BE49-F238E27FC236}">
              <a16:creationId xmlns:a16="http://schemas.microsoft.com/office/drawing/2014/main" id="{88B8CB0B-F252-4B51-8318-F7A8F595C3C8}"/>
            </a:ext>
          </a:extLst>
        </xdr:cNvPr>
        <xdr:cNvSpPr/>
      </xdr:nvSpPr>
      <xdr:spPr>
        <a:xfrm>
          <a:off x="1657350" y="2976322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36" name="Rectangle 35">
          <a:extLst>
            <a:ext uri="{FF2B5EF4-FFF2-40B4-BE49-F238E27FC236}">
              <a16:creationId xmlns:a16="http://schemas.microsoft.com/office/drawing/2014/main" id="{BDF475A7-9533-43CD-8433-F461A97FB5BD}"/>
            </a:ext>
          </a:extLst>
        </xdr:cNvPr>
        <xdr:cNvSpPr/>
      </xdr:nvSpPr>
      <xdr:spPr>
        <a:xfrm>
          <a:off x="2485610" y="2484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37" name="Rectangle 36">
          <a:extLst>
            <a:ext uri="{FF2B5EF4-FFF2-40B4-BE49-F238E27FC236}">
              <a16:creationId xmlns:a16="http://schemas.microsoft.com/office/drawing/2014/main" id="{DF444CB2-BF85-48CF-BD86-F9EFBD3098C4}"/>
            </a:ext>
          </a:extLst>
        </xdr:cNvPr>
        <xdr:cNvSpPr/>
      </xdr:nvSpPr>
      <xdr:spPr>
        <a:xfrm>
          <a:off x="2486343" y="2976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38" name="Rectangle 37">
          <a:extLst>
            <a:ext uri="{FF2B5EF4-FFF2-40B4-BE49-F238E27FC236}">
              <a16:creationId xmlns:a16="http://schemas.microsoft.com/office/drawing/2014/main" id="{1C724836-4353-4614-A17D-405609A3FE67}"/>
            </a:ext>
          </a:extLst>
        </xdr:cNvPr>
        <xdr:cNvSpPr/>
      </xdr:nvSpPr>
      <xdr:spPr>
        <a:xfrm>
          <a:off x="3314285" y="2484788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39" name="Rectangle 38">
          <a:extLst>
            <a:ext uri="{FF2B5EF4-FFF2-40B4-BE49-F238E27FC236}">
              <a16:creationId xmlns:a16="http://schemas.microsoft.com/office/drawing/2014/main" id="{BA45990A-DBFD-4C14-BF3C-8B38E2081787}"/>
            </a:ext>
          </a:extLst>
        </xdr:cNvPr>
        <xdr:cNvSpPr/>
      </xdr:nvSpPr>
      <xdr:spPr>
        <a:xfrm>
          <a:off x="3315018" y="2976328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A928-0B42-4125-9A36-D71B684AC6DD}">
  <sheetPr codeName="Sheet1"/>
  <dimension ref="A1:L65"/>
  <sheetViews>
    <sheetView zoomScaleNormal="100" workbookViewId="0">
      <selection activeCell="I2" sqref="I2:L2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15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</v>
      </c>
      <c r="J2" s="11"/>
      <c r="K2" s="11"/>
      <c r="L2" s="11"/>
    </row>
    <row r="3" spans="1:12" x14ac:dyDescent="0.25">
      <c r="A3" s="15" t="s">
        <v>0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</v>
      </c>
      <c r="J4" s="4">
        <f>IF(SUM(C6:E9)=0,0,C6/SUM(C6:E9))</f>
        <v>0</v>
      </c>
      <c r="K4" s="4">
        <f>IF(I4+J4=0,0,2*((I4*J4)/(I4+J4)))</f>
        <v>0</v>
      </c>
      <c r="L4">
        <f>F6</f>
        <v>0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0</v>
      </c>
      <c r="D6" s="12">
        <v>0</v>
      </c>
      <c r="E6" s="12">
        <v>0</v>
      </c>
      <c r="F6" s="9">
        <f>SUM(C6:E9)</f>
        <v>0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</v>
      </c>
      <c r="J7" s="4">
        <f>IF(L7=0,0,(J4*L4+J5*L5+J6*L6)/L7)</f>
        <v>0</v>
      </c>
      <c r="K7" s="4">
        <f>IF(L7=0,0,(K4*L4+K5*L5+K6*L6)/L7)</f>
        <v>0</v>
      </c>
      <c r="L7">
        <f>SUM(L4:L6)</f>
        <v>0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  <c r="G13" s="1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0</v>
      </c>
      <c r="D18" s="9">
        <f>SUM(D6:D17)</f>
        <v>0</v>
      </c>
      <c r="E18" s="9">
        <f>SUM(E6:E17)</f>
        <v>0</v>
      </c>
      <c r="F18" s="9">
        <f>IF(SUM(C18:E21)=SUM(F6:F17),SUM(F6:F17),"Error")</f>
        <v>0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  <row r="23" spans="1:6" ht="15" customHeight="1" x14ac:dyDescent="0.25">
      <c r="A23" s="6"/>
      <c r="B23" s="6"/>
      <c r="C23" s="2"/>
      <c r="D23" s="2"/>
      <c r="E23" s="2"/>
      <c r="F23" s="2"/>
    </row>
    <row r="24" spans="1:6" ht="15" customHeight="1" x14ac:dyDescent="0.25">
      <c r="A24" s="6"/>
      <c r="B24" s="6"/>
      <c r="C24" s="3"/>
      <c r="D24" s="3"/>
      <c r="E24" s="3"/>
      <c r="F24" s="3"/>
    </row>
    <row r="25" spans="1:6" ht="15" customHeight="1" x14ac:dyDescent="0.25">
      <c r="A25" s="7"/>
      <c r="B25" s="7"/>
      <c r="C25" s="3"/>
      <c r="D25" s="3"/>
      <c r="E25" s="3"/>
      <c r="F25" s="3"/>
    </row>
    <row r="26" spans="1:6" ht="15" customHeight="1" x14ac:dyDescent="0.25">
      <c r="A26" s="7"/>
      <c r="B26" s="7"/>
      <c r="C26" s="3"/>
      <c r="D26" s="3"/>
      <c r="E26" s="3"/>
      <c r="F26" s="3"/>
    </row>
    <row r="27" spans="1:6" ht="15" customHeight="1" x14ac:dyDescent="0.25">
      <c r="A27" s="7"/>
      <c r="B27" s="7"/>
      <c r="C27" s="3"/>
      <c r="D27" s="3"/>
      <c r="E27" s="3"/>
      <c r="F27" s="3"/>
    </row>
    <row r="28" spans="1:6" ht="15" customHeight="1" x14ac:dyDescent="0.25">
      <c r="A28" s="5"/>
      <c r="B28" s="3"/>
      <c r="C28" s="2"/>
      <c r="D28" s="2"/>
      <c r="E28" s="2"/>
      <c r="F28" s="2"/>
    </row>
    <row r="29" spans="1:6" x14ac:dyDescent="0.25">
      <c r="A29" s="5"/>
      <c r="B29" s="3"/>
      <c r="C29" s="2"/>
      <c r="D29" s="2"/>
      <c r="E29" s="2"/>
      <c r="F29" s="2"/>
    </row>
    <row r="30" spans="1:6" x14ac:dyDescent="0.25">
      <c r="A30" s="5"/>
      <c r="B30" s="3"/>
      <c r="C30" s="2"/>
      <c r="D30" s="2"/>
      <c r="E30" s="2"/>
      <c r="F30" s="2"/>
    </row>
    <row r="31" spans="1:6" x14ac:dyDescent="0.25">
      <c r="A31" s="5"/>
      <c r="B31" s="3"/>
      <c r="C31" s="2"/>
      <c r="D31" s="2"/>
      <c r="E31" s="2"/>
      <c r="F31" s="2"/>
    </row>
    <row r="32" spans="1:6" ht="15" customHeight="1" x14ac:dyDescent="0.25">
      <c r="A32" s="5"/>
      <c r="B32" s="3"/>
      <c r="C32" s="2"/>
      <c r="D32" s="2"/>
      <c r="E32" s="2"/>
      <c r="F32" s="2"/>
    </row>
    <row r="33" spans="1:7" x14ac:dyDescent="0.25">
      <c r="A33" s="5"/>
      <c r="B33" s="3"/>
      <c r="C33" s="2"/>
      <c r="D33" s="2"/>
      <c r="E33" s="2"/>
      <c r="F33" s="2"/>
    </row>
    <row r="34" spans="1:7" x14ac:dyDescent="0.25">
      <c r="A34" s="5"/>
      <c r="B34" s="3"/>
      <c r="C34" s="2"/>
      <c r="D34" s="2"/>
      <c r="E34" s="2"/>
      <c r="F34" s="2"/>
    </row>
    <row r="35" spans="1:7" x14ac:dyDescent="0.25">
      <c r="A35" s="5"/>
      <c r="B35" s="3"/>
      <c r="C35" s="2"/>
      <c r="D35" s="2"/>
      <c r="E35" s="2"/>
      <c r="F35" s="2"/>
      <c r="G35" s="1"/>
    </row>
    <row r="36" spans="1:7" ht="15" customHeight="1" x14ac:dyDescent="0.25">
      <c r="A36" s="5"/>
      <c r="B36" s="3"/>
      <c r="C36" s="2"/>
      <c r="D36" s="2"/>
      <c r="E36" s="2"/>
      <c r="F36" s="2"/>
    </row>
    <row r="37" spans="1:7" x14ac:dyDescent="0.25">
      <c r="A37" s="5"/>
      <c r="B37" s="3"/>
      <c r="C37" s="2"/>
      <c r="D37" s="2"/>
      <c r="E37" s="2"/>
      <c r="F37" s="2"/>
    </row>
    <row r="38" spans="1:7" x14ac:dyDescent="0.25">
      <c r="A38" s="5"/>
      <c r="B38" s="3"/>
      <c r="C38" s="2"/>
      <c r="D38" s="2"/>
      <c r="E38" s="2"/>
      <c r="F38" s="2"/>
    </row>
    <row r="39" spans="1:7" x14ac:dyDescent="0.25">
      <c r="A39" s="5"/>
      <c r="B39" s="3"/>
      <c r="C39" s="2"/>
      <c r="D39" s="2"/>
      <c r="E39" s="2"/>
      <c r="F39" s="2"/>
    </row>
    <row r="40" spans="1:7" ht="15" customHeight="1" x14ac:dyDescent="0.25">
      <c r="A40" s="5"/>
      <c r="B40" s="3"/>
      <c r="C40" s="2"/>
      <c r="D40" s="2"/>
      <c r="E40" s="2"/>
      <c r="F40" s="2"/>
    </row>
    <row r="41" spans="1:7" x14ac:dyDescent="0.25">
      <c r="A41" s="5"/>
      <c r="B41" s="3"/>
      <c r="C41" s="2"/>
      <c r="D41" s="2"/>
      <c r="E41" s="2"/>
      <c r="F41" s="2"/>
    </row>
    <row r="42" spans="1:7" x14ac:dyDescent="0.25">
      <c r="A42" s="5"/>
      <c r="B42" s="3"/>
      <c r="C42" s="2"/>
      <c r="D42" s="2"/>
      <c r="E42" s="2"/>
      <c r="F42" s="2"/>
    </row>
    <row r="43" spans="1:7" x14ac:dyDescent="0.25">
      <c r="A43" s="5"/>
      <c r="B43" s="3"/>
      <c r="C43" s="2"/>
      <c r="D43" s="2"/>
      <c r="E43" s="2"/>
      <c r="F43" s="2"/>
    </row>
    <row r="45" spans="1:7" ht="15" customHeight="1" x14ac:dyDescent="0.25">
      <c r="A45" s="6"/>
      <c r="B45" s="6"/>
      <c r="C45" s="2"/>
      <c r="D45" s="2"/>
      <c r="E45" s="2"/>
      <c r="F45" s="2"/>
    </row>
    <row r="46" spans="1:7" ht="15" customHeight="1" x14ac:dyDescent="0.25">
      <c r="A46" s="6"/>
      <c r="B46" s="6"/>
      <c r="C46" s="3"/>
      <c r="D46" s="3"/>
      <c r="E46" s="3"/>
      <c r="F46" s="3"/>
    </row>
    <row r="47" spans="1:7" ht="15" customHeight="1" x14ac:dyDescent="0.25">
      <c r="A47" s="7"/>
      <c r="B47" s="7"/>
      <c r="C47" s="3"/>
      <c r="D47" s="3"/>
      <c r="E47" s="3"/>
      <c r="F47" s="3"/>
    </row>
    <row r="48" spans="1:7" ht="15" customHeight="1" x14ac:dyDescent="0.25">
      <c r="A48" s="7"/>
      <c r="B48" s="7"/>
      <c r="C48" s="3"/>
      <c r="D48" s="3"/>
      <c r="E48" s="3"/>
      <c r="F48" s="3"/>
    </row>
    <row r="49" spans="1:7" ht="15" customHeight="1" x14ac:dyDescent="0.25">
      <c r="A49" s="7"/>
      <c r="B49" s="7"/>
      <c r="C49" s="3"/>
      <c r="D49" s="3"/>
      <c r="E49" s="3"/>
      <c r="F49" s="3"/>
    </row>
    <row r="50" spans="1:7" ht="15" customHeight="1" x14ac:dyDescent="0.25">
      <c r="A50" s="5"/>
      <c r="B50" s="3"/>
      <c r="C50" s="2"/>
      <c r="D50" s="2"/>
      <c r="E50" s="2"/>
      <c r="F50" s="2"/>
    </row>
    <row r="51" spans="1:7" x14ac:dyDescent="0.25">
      <c r="A51" s="5"/>
      <c r="B51" s="3"/>
      <c r="C51" s="2"/>
      <c r="D51" s="2"/>
      <c r="E51" s="2"/>
      <c r="F51" s="2"/>
    </row>
    <row r="52" spans="1:7" x14ac:dyDescent="0.25">
      <c r="A52" s="5"/>
      <c r="B52" s="3"/>
      <c r="C52" s="2"/>
      <c r="D52" s="2"/>
      <c r="E52" s="2"/>
      <c r="F52" s="2"/>
    </row>
    <row r="53" spans="1:7" x14ac:dyDescent="0.25">
      <c r="A53" s="5"/>
      <c r="B53" s="3"/>
      <c r="C53" s="2"/>
      <c r="D53" s="2"/>
      <c r="E53" s="2"/>
      <c r="F53" s="2"/>
    </row>
    <row r="54" spans="1:7" ht="15" customHeight="1" x14ac:dyDescent="0.25">
      <c r="A54" s="5"/>
      <c r="B54" s="3"/>
      <c r="C54" s="2"/>
      <c r="D54" s="2"/>
      <c r="E54" s="2"/>
      <c r="F54" s="2"/>
    </row>
    <row r="55" spans="1:7" x14ac:dyDescent="0.25">
      <c r="A55" s="5"/>
      <c r="B55" s="3"/>
      <c r="C55" s="2"/>
      <c r="D55" s="2"/>
      <c r="E55" s="2"/>
      <c r="F55" s="2"/>
    </row>
    <row r="56" spans="1:7" x14ac:dyDescent="0.25">
      <c r="A56" s="5"/>
      <c r="B56" s="3"/>
      <c r="C56" s="2"/>
      <c r="D56" s="2"/>
      <c r="E56" s="2"/>
      <c r="F56" s="2"/>
    </row>
    <row r="57" spans="1:7" x14ac:dyDescent="0.25">
      <c r="A57" s="5"/>
      <c r="B57" s="3"/>
      <c r="C57" s="2"/>
      <c r="D57" s="2"/>
      <c r="E57" s="2"/>
      <c r="F57" s="2"/>
      <c r="G57" s="1"/>
    </row>
    <row r="58" spans="1:7" ht="15" customHeight="1" x14ac:dyDescent="0.25">
      <c r="A58" s="5"/>
      <c r="B58" s="3"/>
      <c r="C58" s="2"/>
      <c r="D58" s="2"/>
      <c r="E58" s="2"/>
      <c r="F58" s="2"/>
    </row>
    <row r="59" spans="1:7" x14ac:dyDescent="0.25">
      <c r="A59" s="5"/>
      <c r="B59" s="3"/>
      <c r="C59" s="2"/>
      <c r="D59" s="2"/>
      <c r="E59" s="2"/>
      <c r="F59" s="2"/>
    </row>
    <row r="60" spans="1:7" x14ac:dyDescent="0.25">
      <c r="A60" s="5"/>
      <c r="B60" s="3"/>
      <c r="C60" s="2"/>
      <c r="D60" s="2"/>
      <c r="E60" s="2"/>
      <c r="F60" s="2"/>
    </row>
    <row r="61" spans="1:7" x14ac:dyDescent="0.25">
      <c r="A61" s="5"/>
      <c r="B61" s="3"/>
      <c r="C61" s="2"/>
      <c r="D61" s="2"/>
      <c r="E61" s="2"/>
      <c r="F61" s="2"/>
    </row>
    <row r="62" spans="1:7" ht="15" customHeight="1" x14ac:dyDescent="0.25">
      <c r="A62" s="5"/>
      <c r="B62" s="3"/>
      <c r="C62" s="2"/>
      <c r="D62" s="2"/>
      <c r="E62" s="2"/>
      <c r="F62" s="2"/>
    </row>
    <row r="63" spans="1:7" x14ac:dyDescent="0.25">
      <c r="A63" s="5"/>
      <c r="B63" s="3"/>
      <c r="C63" s="2"/>
      <c r="D63" s="2"/>
      <c r="E63" s="2"/>
      <c r="F63" s="2"/>
    </row>
    <row r="64" spans="1:7" x14ac:dyDescent="0.25">
      <c r="A64" s="5"/>
      <c r="B64" s="3"/>
      <c r="C64" s="2"/>
      <c r="D64" s="2"/>
      <c r="E64" s="2"/>
      <c r="F64" s="2"/>
    </row>
    <row r="65" spans="1:6" x14ac:dyDescent="0.25">
      <c r="A65" s="5"/>
      <c r="B65" s="3"/>
      <c r="C65" s="2"/>
      <c r="D65" s="2"/>
      <c r="E65" s="2"/>
      <c r="F65" s="2"/>
    </row>
  </sheetData>
  <mergeCells count="30">
    <mergeCell ref="A1:B2"/>
    <mergeCell ref="A3:B5"/>
    <mergeCell ref="A6:A21"/>
    <mergeCell ref="B6:B9"/>
    <mergeCell ref="C6:C9"/>
    <mergeCell ref="D6:D9"/>
    <mergeCell ref="E6:E9"/>
    <mergeCell ref="H1:L1"/>
    <mergeCell ref="C2:C5"/>
    <mergeCell ref="D2:D5"/>
    <mergeCell ref="E2:E5"/>
    <mergeCell ref="F2:F5"/>
    <mergeCell ref="I2:L2"/>
    <mergeCell ref="C1:F1"/>
    <mergeCell ref="F6:F9"/>
    <mergeCell ref="B10:B13"/>
    <mergeCell ref="C10:C13"/>
    <mergeCell ref="D10:D13"/>
    <mergeCell ref="E10:E13"/>
    <mergeCell ref="F10:F13"/>
    <mergeCell ref="B18:B21"/>
    <mergeCell ref="C18:C21"/>
    <mergeCell ref="D18:D21"/>
    <mergeCell ref="E18:E21"/>
    <mergeCell ref="F18:F21"/>
    <mergeCell ref="B14:B17"/>
    <mergeCell ref="C14:C17"/>
    <mergeCell ref="D14:D17"/>
    <mergeCell ref="E14:E17"/>
    <mergeCell ref="F14:F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B84A-60E8-4951-9AA1-5B93F110E171}">
  <sheetPr codeName="Sheet4"/>
  <dimension ref="A1:L21"/>
  <sheetViews>
    <sheetView tabSelected="1" workbookViewId="0">
      <selection activeCell="B18" sqref="B18:B2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18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0.97435897435897434</v>
      </c>
      <c r="J2" s="11"/>
      <c r="K2" s="11"/>
      <c r="L2" s="11"/>
    </row>
    <row r="3" spans="1:12" x14ac:dyDescent="0.25">
      <c r="A3" s="15" t="s">
        <v>17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0.97368421052631582</v>
      </c>
      <c r="J4" s="4">
        <f>IF(SUM(C6:E9)=0,0,C6/SUM(C6:E9))</f>
        <v>1</v>
      </c>
      <c r="K4" s="4">
        <f>IF(I4+J4=0,0,2*((I4*J4)/(I4+J4)))</f>
        <v>0.98666666666666658</v>
      </c>
      <c r="L4">
        <f>F6</f>
        <v>37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1</v>
      </c>
      <c r="J5" s="4">
        <f>IF(SUM(C10:E13)=0,0,D10/SUM(C10:E13))</f>
        <v>0.5</v>
      </c>
      <c r="K5" s="4">
        <f>IF(I5+J5=0,0,2*((I5*J5)/(I5+J5)))</f>
        <v>0.66666666666666663</v>
      </c>
      <c r="L5">
        <f>F10</f>
        <v>2</v>
      </c>
    </row>
    <row r="6" spans="1:12" x14ac:dyDescent="0.25">
      <c r="A6" s="13" t="s">
        <v>12</v>
      </c>
      <c r="B6" s="8" t="s">
        <v>2</v>
      </c>
      <c r="C6" s="12">
        <v>37</v>
      </c>
      <c r="D6" s="12">
        <v>0</v>
      </c>
      <c r="E6" s="12">
        <v>0</v>
      </c>
      <c r="F6" s="9">
        <f>SUM(C6:E9)</f>
        <v>37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0.97503373819163297</v>
      </c>
      <c r="J7" s="4">
        <f>IF(L7=0,0,(J4*L4+J5*L5+J6*L6)/L7)</f>
        <v>0.97435897435897434</v>
      </c>
      <c r="K7" s="4">
        <f>IF(L7=0,0,(K4*L4+K5*L5+K6*L6)/L7)</f>
        <v>0.97025641025641018</v>
      </c>
      <c r="L7">
        <f>SUM(L4:L6)</f>
        <v>39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1</v>
      </c>
      <c r="D10" s="12">
        <v>1</v>
      </c>
      <c r="E10" s="12">
        <v>0</v>
      </c>
      <c r="F10" s="9">
        <f>SUM(C10:E13)</f>
        <v>2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38</v>
      </c>
      <c r="D18" s="9">
        <f>SUM(D6:D17)</f>
        <v>1</v>
      </c>
      <c r="E18" s="9">
        <f>SUM(E6:E17)</f>
        <v>0</v>
      </c>
      <c r="F18" s="9">
        <f>IF(SUM(C18:E21)=SUM(F6:F17),SUM(F6:F17),"Error")</f>
        <v>39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</sheetData>
  <mergeCells count="30"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479-AF9A-444F-A481-AEED01606520}">
  <sheetPr codeName="Sheet5"/>
  <dimension ref="A1:L21"/>
  <sheetViews>
    <sheetView zoomScaleNormal="100" workbookViewId="0">
      <selection activeCell="H13" sqref="H13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16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</v>
      </c>
      <c r="J2" s="11"/>
      <c r="K2" s="11"/>
      <c r="L2" s="11"/>
    </row>
    <row r="3" spans="1:12" x14ac:dyDescent="0.25">
      <c r="A3" s="15" t="s">
        <v>1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</v>
      </c>
      <c r="J4" s="4">
        <f>IF(SUM(C6:E9)=0,0,C6/SUM(C6:E9))</f>
        <v>0</v>
      </c>
      <c r="K4" s="4">
        <f>IF(I4+J4=0,0,2*((I4*J4)/(I4+J4)))</f>
        <v>0</v>
      </c>
      <c r="L4">
        <f>F6</f>
        <v>0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0</v>
      </c>
      <c r="D6" s="12">
        <v>0</v>
      </c>
      <c r="E6" s="12">
        <v>0</v>
      </c>
      <c r="F6" s="9">
        <f>SUM(C6:E9)</f>
        <v>0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</v>
      </c>
      <c r="J7" s="4">
        <f>IF(L7=0,0,(J4*L4+J5*L5+J6*L6)/L7)</f>
        <v>0</v>
      </c>
      <c r="K7" s="4">
        <f>IF(L7=0,0,(K4*L4+K5*L5+K6*L6)/L7)</f>
        <v>0</v>
      </c>
      <c r="L7">
        <f>SUM(L4:L6)</f>
        <v>0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0</v>
      </c>
      <c r="D18" s="9">
        <f>SUM(D6:D17)</f>
        <v>0</v>
      </c>
      <c r="E18" s="9">
        <f>SUM(E6:E17)</f>
        <v>0</v>
      </c>
      <c r="F18" s="9">
        <f>IF(SUM(C18:E21)=SUM(F6:F17),SUM(F6:F17),"Error")</f>
        <v>0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</sheetData>
  <mergeCells count="30"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Car</vt:lpstr>
      <vt:lpstr>Motorcycle</vt:lpstr>
      <vt:lpstr>Tricycle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2026-04-19T14:54:54Z</dcterms:created>
  <dcterms:modified xsi:type="dcterms:W3CDTF">2026-04-23T02:57:23Z</dcterms:modified>
</cp:coreProperties>
</file>